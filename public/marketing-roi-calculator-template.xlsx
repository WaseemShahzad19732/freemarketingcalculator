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 Calculator" sheetId="1" state="visible" r:id="rId1"/>
    <sheet xmlns:r="http://schemas.openxmlformats.org/officeDocument/2006/relationships" name="ROI Benchmarks" sheetId="2" state="visible" r:id="rId2"/>
    <sheet xmlns:r="http://schemas.openxmlformats.org/officeDocument/2006/relationships" name="Campaign ROI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&quot;%&quot;"/>
    <numFmt numFmtId="166" formatCode="0.0&quot;x&quot;"/>
    <numFmt numFmtId="167" formatCode="&quot;$&quot;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94A3B8"/>
      <sz val="9"/>
    </font>
    <font>
      <name val="Arial"/>
      <b val="1"/>
      <color rgb="00FFFFFF"/>
      <sz val="10"/>
    </font>
    <font>
      <name val="Arial"/>
      <b val="1"/>
      <color rgb="001E293B"/>
      <sz val="10"/>
    </font>
    <font>
      <name val="Arial"/>
      <color rgb="000000FF"/>
      <sz val="10"/>
    </font>
    <font>
      <name val="Arial"/>
      <color rgb="001E293B"/>
      <sz val="10"/>
    </font>
    <font>
      <name val="Arial"/>
      <b val="1"/>
      <color rgb="0000C4B3"/>
      <sz val="14"/>
    </font>
    <font>
      <name val="Arial"/>
      <sz val="10"/>
    </font>
    <font>
      <name val="Arial"/>
      <b val="1"/>
      <sz val="10"/>
    </font>
    <font>
      <name val="Arial"/>
      <b val="1"/>
      <color rgb="0000C4B3"/>
      <sz val="13"/>
    </font>
    <font>
      <name val="Arial"/>
      <color rgb="00475569"/>
      <sz val="9"/>
    </font>
    <font>
      <name val="Arial"/>
      <b val="1"/>
      <color rgb="00FFFFFF"/>
      <sz val="9"/>
    </font>
    <font>
      <name val="Arial"/>
      <b val="1"/>
      <color rgb="0000C4B3"/>
      <sz val="10"/>
    </font>
    <font>
      <name val="Arial"/>
      <b val="1"/>
    </font>
    <font>
      <name val="Arial"/>
      <b val="1"/>
      <color rgb="0000C4B3"/>
    </font>
  </fonts>
  <fills count="6">
    <fill>
      <patternFill/>
    </fill>
    <fill>
      <patternFill patternType="gray125"/>
    </fill>
    <fill>
      <patternFill patternType="solid">
        <fgColor rgb="000F1F38"/>
      </patternFill>
    </fill>
    <fill>
      <patternFill patternType="solid">
        <fgColor rgb="0000C4B3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165" fontId="7" fillId="0" borderId="1" pivotButton="0" quotePrefix="0" xfId="0"/>
    <xf numFmtId="164" fontId="8" fillId="0" borderId="1" pivotButton="0" quotePrefix="0" xfId="0"/>
    <xf numFmtId="166" fontId="8" fillId="0" borderId="1" pivotButton="0" quotePrefix="0" xfId="0"/>
    <xf numFmtId="167" fontId="8" fillId="0" borderId="1" pivotButton="0" quotePrefix="0" xfId="0"/>
    <xf numFmtId="0" fontId="9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9" fontId="5" fillId="0" borderId="1" applyAlignment="1" pivotButton="0" quotePrefix="0" xfId="0">
      <alignment horizontal="right"/>
    </xf>
    <xf numFmtId="165" fontId="10" fillId="0" borderId="1" pivotButton="0" quotePrefix="0" xfId="0"/>
    <xf numFmtId="0" fontId="11" fillId="0" borderId="1" pivotButton="0" quotePrefix="0" xfId="0"/>
    <xf numFmtId="0" fontId="6" fillId="4" borderId="1" applyAlignment="1" pivotButton="0" quotePrefix="0" xfId="0">
      <alignment horizontal="left" vertical="center"/>
    </xf>
    <xf numFmtId="0" fontId="8" fillId="4" borderId="1" pivotButton="0" quotePrefix="0" xfId="0"/>
    <xf numFmtId="0" fontId="6" fillId="5" borderId="1" applyAlignment="1" pivotButton="0" quotePrefix="0" xfId="0">
      <alignment horizontal="left" vertical="center"/>
    </xf>
    <xf numFmtId="0" fontId="8" fillId="5" borderId="1" pivotButton="0" quotePrefix="0" xfId="0"/>
    <xf numFmtId="0" fontId="12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/>
    </xf>
    <xf numFmtId="164" fontId="5" fillId="4" borderId="1" applyAlignment="1" pivotButton="0" quotePrefix="0" xfId="0">
      <alignment horizontal="right"/>
    </xf>
    <xf numFmtId="165" fontId="13" fillId="4" borderId="1" pivotButton="0" quotePrefix="0" xfId="0"/>
    <xf numFmtId="164" fontId="8" fillId="4" borderId="1" pivotButton="0" quotePrefix="0" xfId="0"/>
    <xf numFmtId="166" fontId="8" fillId="4" borderId="1" pivotButton="0" quotePrefix="0" xfId="0"/>
    <xf numFmtId="0" fontId="9" fillId="4" borderId="1" pivotButton="0" quotePrefix="0" xfId="0"/>
    <xf numFmtId="0" fontId="6" fillId="5" borderId="0" applyAlignment="1" pivotButton="0" quotePrefix="0" xfId="0">
      <alignment horizontal="left"/>
    </xf>
    <xf numFmtId="164" fontId="5" fillId="5" borderId="1" applyAlignment="1" pivotButton="0" quotePrefix="0" xfId="0">
      <alignment horizontal="right"/>
    </xf>
    <xf numFmtId="165" fontId="13" fillId="5" borderId="1" pivotButton="0" quotePrefix="0" xfId="0"/>
    <xf numFmtId="164" fontId="8" fillId="5" borderId="1" pivotButton="0" quotePrefix="0" xfId="0"/>
    <xf numFmtId="166" fontId="8" fillId="5" borderId="1" pivotButton="0" quotePrefix="0" xfId="0"/>
    <xf numFmtId="0" fontId="9" fillId="5" borderId="1" pivotButton="0" quotePrefix="0" xfId="0"/>
    <xf numFmtId="0" fontId="4" fillId="0" borderId="1" applyAlignment="1" pivotButton="0" quotePrefix="0" xfId="0">
      <alignment horizontal="left" vertical="center"/>
    </xf>
    <xf numFmtId="164" fontId="14" fillId="0" borderId="1" pivotButton="0" quotePrefix="0" xfId="0"/>
    <xf numFmtId="165" fontId="1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4" customWidth="1" min="4" max="4"/>
  </cols>
  <sheetData>
    <row r="1" ht="28" customHeight="1">
      <c r="A1" s="1" t="inlineStr">
        <is>
          <t>Marketing ROI Calculator (ROMI) — Free Marketing Calculators</t>
        </is>
      </c>
    </row>
    <row r="2">
      <c r="A2" s="2" t="inlineStr">
        <is>
          <t>freemarketingcalculator.com  |  Free, no signup required</t>
        </is>
      </c>
    </row>
    <row r="4">
      <c r="A4" s="3" t="inlineStr">
        <is>
          <t>BASIC ROMI (2 inputs)</t>
        </is>
      </c>
    </row>
    <row r="5">
      <c r="A5" s="4" t="inlineStr">
        <is>
          <t>Revenue Generated from Marketing ($)</t>
        </is>
      </c>
      <c r="B5" s="5" t="n">
        <v>50000</v>
      </c>
      <c r="C5" s="6" t="inlineStr">
        <is>
          <t>← Enter revenue from this campaign/channel</t>
        </is>
      </c>
    </row>
    <row r="6">
      <c r="A6" s="4" t="inlineStr">
        <is>
          <t>Total Marketing Cost / Spend ($)</t>
        </is>
      </c>
      <c r="B6" s="5" t="n">
        <v>10000</v>
      </c>
    </row>
    <row r="8">
      <c r="A8" s="7" t="inlineStr">
        <is>
          <t>RESULTS — BASIC ROMI</t>
        </is>
      </c>
    </row>
    <row r="9" ht="22" customHeight="1">
      <c r="A9" s="4" t="inlineStr">
        <is>
          <t>Marketing ROI (ROMI)</t>
        </is>
      </c>
      <c r="B9" s="8">
        <f>(B5-B6)/B6*100</f>
        <v/>
      </c>
    </row>
    <row r="10">
      <c r="A10" s="6" t="inlineStr">
        <is>
          <t>Net Profit</t>
        </is>
      </c>
      <c r="B10" s="9">
        <f>B5-B6</f>
        <v/>
      </c>
    </row>
    <row r="11">
      <c r="A11" s="6" t="inlineStr">
        <is>
          <t>Revenue Ratio (x:1)</t>
        </is>
      </c>
      <c r="B11" s="10">
        <f>B5/B6</f>
        <v/>
      </c>
    </row>
    <row r="12">
      <c r="A12" s="6" t="inlineStr">
        <is>
          <t>Return per $1 Spent</t>
        </is>
      </c>
      <c r="B12" s="11">
        <f>B5/B6</f>
        <v/>
      </c>
    </row>
    <row r="13">
      <c r="A13" s="6" t="inlineStr">
        <is>
          <t>Assessment</t>
        </is>
      </c>
      <c r="B13" s="12">
        <f>IF(B9&lt;0,"🔴 Loss — pause &amp; review",IF(B9&lt;100,"🟡 Below breakeven",IF(B9&lt;300,"🟢 Solid performance",IF(B9&lt;500,"✅ Strong — above 5:1","🚀 Excellent — above 10:1"))))</f>
        <v/>
      </c>
      <c r="C13" s="13" t="n"/>
      <c r="D13" s="14" t="n"/>
    </row>
    <row r="15">
      <c r="A15" s="3" t="inlineStr">
        <is>
          <t>ADVANCED: GROSS PROFIT ROI (with COGS)</t>
        </is>
      </c>
    </row>
    <row r="16">
      <c r="A16" s="4" t="inlineStr">
        <is>
          <t>Revenue Generated ($)</t>
        </is>
      </c>
      <c r="B16" s="5" t="n">
        <v>200000</v>
      </c>
    </row>
    <row r="17">
      <c r="A17" s="4" t="inlineStr">
        <is>
          <t>Gross Margin %</t>
        </is>
      </c>
      <c r="B17" s="15" t="n">
        <v>0.6</v>
      </c>
      <c r="C17" s="6" t="inlineStr">
        <is>
          <t>Revenue minus COGS ÷ Revenue</t>
        </is>
      </c>
    </row>
    <row r="18">
      <c r="A18" s="4" t="inlineStr">
        <is>
          <t>Marketing Spend ($)</t>
        </is>
      </c>
      <c r="B18" s="5" t="n">
        <v>50000</v>
      </c>
    </row>
    <row r="20">
      <c r="A20" s="7" t="inlineStr">
        <is>
          <t>RESULTS — GROSS PROFIT ROI</t>
        </is>
      </c>
    </row>
    <row r="21">
      <c r="A21" s="6" t="inlineStr">
        <is>
          <t>Gross Profit</t>
        </is>
      </c>
      <c r="B21" s="9">
        <f>B16*B17</f>
        <v/>
      </c>
    </row>
    <row r="22" ht="22" customHeight="1">
      <c r="A22" s="4" t="inlineStr">
        <is>
          <t>Gross Profit ROI</t>
        </is>
      </c>
      <c r="B22" s="16">
        <f>(B16*B17-B18)/B18*100</f>
        <v/>
      </c>
    </row>
    <row r="23">
      <c r="A23" s="6" t="inlineStr">
        <is>
          <t>Formula Used</t>
        </is>
      </c>
      <c r="B23" s="17">
        <f> ((Revenue × Gross Margin%) − Spend) ÷ Spend × 100</f>
        <v/>
      </c>
      <c r="C23" s="13" t="n"/>
      <c r="D23" s="14" t="n"/>
    </row>
  </sheetData>
  <mergeCells count="8">
    <mergeCell ref="A1:D1"/>
    <mergeCell ref="A8:D8"/>
    <mergeCell ref="B23:D23"/>
    <mergeCell ref="A4:D4"/>
    <mergeCell ref="A20:D20"/>
    <mergeCell ref="A15:D15"/>
    <mergeCell ref="B13:D1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20" customWidth="1" min="4" max="4"/>
  </cols>
  <sheetData>
    <row r="1" ht="28" customHeight="1">
      <c r="A1" s="1" t="inlineStr">
        <is>
          <t>Marketing ROI Benchmarks by Channel — 2026</t>
        </is>
      </c>
    </row>
    <row r="3">
      <c r="A3" s="3" t="inlineStr">
        <is>
          <t>Channel</t>
        </is>
      </c>
      <c r="B3" s="3" t="inlineStr">
        <is>
          <t>Avg ROI</t>
        </is>
      </c>
      <c r="C3" s="3" t="inlineStr">
        <is>
          <t>Typical Range</t>
        </is>
      </c>
      <c r="D3" s="3" t="inlineStr">
        <is>
          <t>Notes</t>
        </is>
      </c>
    </row>
    <row r="4">
      <c r="A4" s="18" t="inlineStr">
        <is>
          <t>Email Marketing</t>
        </is>
      </c>
      <c r="B4" s="19" t="inlineStr">
        <is>
          <t>4,200%</t>
        </is>
      </c>
      <c r="C4" s="19" t="inlineStr">
        <is>
          <t>2,000–8,000%</t>
        </is>
      </c>
      <c r="D4" s="19" t="inlineStr">
        <is>
          <t>Industry avg $36:$1</t>
        </is>
      </c>
    </row>
    <row r="5">
      <c r="A5" s="20" t="inlineStr">
        <is>
          <t>SEO / Organic Search</t>
        </is>
      </c>
      <c r="B5" s="21" t="inlineStr">
        <is>
          <t>275%</t>
        </is>
      </c>
      <c r="C5" s="21" t="inlineStr">
        <is>
          <t>100–600%</t>
        </is>
      </c>
      <c r="D5" s="21" t="inlineStr">
        <is>
          <t>Compounds over 12+ months</t>
        </is>
      </c>
    </row>
    <row r="6">
      <c r="A6" s="18" t="inlineStr">
        <is>
          <t>Content Marketing</t>
        </is>
      </c>
      <c r="B6" s="19" t="inlineStr">
        <is>
          <t>300%</t>
        </is>
      </c>
      <c r="C6" s="19" t="inlineStr">
        <is>
          <t>150–500%</t>
        </is>
      </c>
      <c r="D6" s="19" t="inlineStr">
        <is>
          <t>Long-term asset value</t>
        </is>
      </c>
    </row>
    <row r="7">
      <c r="A7" s="20" t="inlineStr">
        <is>
          <t>Paid Search (SEM)</t>
        </is>
      </c>
      <c r="B7" s="21" t="inlineStr">
        <is>
          <t>200%</t>
        </is>
      </c>
      <c r="C7" s="21" t="inlineStr">
        <is>
          <t>100–400%</t>
        </is>
      </c>
      <c r="D7" s="21" t="inlineStr">
        <is>
          <t>Depends heavily on CPC</t>
        </is>
      </c>
    </row>
    <row r="8">
      <c r="A8" s="18" t="inlineStr">
        <is>
          <t>Paid Social</t>
        </is>
      </c>
      <c r="B8" s="19" t="inlineStr">
        <is>
          <t>120%</t>
        </is>
      </c>
      <c r="C8" s="19" t="inlineStr">
        <is>
          <t>50–250%</t>
        </is>
      </c>
      <c r="D8" s="19" t="inlineStr">
        <is>
          <t>Higher for eCommerce</t>
        </is>
      </c>
    </row>
    <row r="9">
      <c r="A9" s="20" t="inlineStr">
        <is>
          <t>Events / Webinars</t>
        </is>
      </c>
      <c r="B9" s="21" t="inlineStr">
        <is>
          <t>140%</t>
        </is>
      </c>
      <c r="C9" s="21" t="inlineStr">
        <is>
          <t>80–300%</t>
        </is>
      </c>
      <c r="D9" s="21" t="inlineStr">
        <is>
          <t>B2B-heavy metric</t>
        </is>
      </c>
    </row>
    <row r="10">
      <c r="A10" s="18" t="inlineStr">
        <is>
          <t>Affiliate Marketing</t>
        </is>
      </c>
      <c r="B10" s="19" t="inlineStr">
        <is>
          <t>400%</t>
        </is>
      </c>
      <c r="C10" s="19" t="inlineStr">
        <is>
          <t>200–800%</t>
        </is>
      </c>
      <c r="D10" s="19" t="inlineStr">
        <is>
          <t>Variable by niche</t>
        </is>
      </c>
    </row>
    <row r="12">
      <c r="A12" s="6" t="inlineStr">
        <is>
          <t>Sources: Litmus Email ROI Report, WordStream, Salesforce State of Marketing 2026, HubSpot</t>
        </is>
      </c>
    </row>
    <row r="13">
      <c r="A13" s="6" t="inlineStr">
        <is>
          <t>freemarketingcalculator.com — Free marketing tools, no signup required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</cols>
  <sheetData>
    <row r="1" ht="28" customHeight="1">
      <c r="A1" s="1" t="inlineStr">
        <is>
          <t>Campaign ROI Tracker — Multiple Campaigns</t>
        </is>
      </c>
    </row>
    <row r="3">
      <c r="A3" s="22" t="inlineStr">
        <is>
          <t>Campaign Name</t>
        </is>
      </c>
      <c r="B3" s="22" t="inlineStr">
        <is>
          <t>Channel</t>
        </is>
      </c>
      <c r="C3" s="22" t="inlineStr">
        <is>
          <t>Revenue ($)</t>
        </is>
      </c>
      <c r="D3" s="22" t="inlineStr">
        <is>
          <t>Cost ($)</t>
        </is>
      </c>
      <c r="E3" s="22" t="inlineStr">
        <is>
          <t>ROMI %</t>
        </is>
      </c>
      <c r="F3" s="22" t="inlineStr">
        <is>
          <t>Net Profit</t>
        </is>
      </c>
      <c r="G3" s="22" t="inlineStr">
        <is>
          <t>Revenue Ratio</t>
        </is>
      </c>
      <c r="H3" s="22" t="inlineStr">
        <is>
          <t>Assessment</t>
        </is>
      </c>
    </row>
    <row r="4">
      <c r="A4" s="23" t="inlineStr">
        <is>
          <t>Email Newsletter Q3</t>
        </is>
      </c>
      <c r="B4" s="23" t="inlineStr">
        <is>
          <t>Email</t>
        </is>
      </c>
      <c r="C4" s="24" t="n">
        <v>28000</v>
      </c>
      <c r="D4" s="24" t="n">
        <v>600</v>
      </c>
      <c r="E4" s="25">
        <f>(C4-D4)/D4*100</f>
        <v/>
      </c>
      <c r="F4" s="26">
        <f>C4-D4</f>
        <v/>
      </c>
      <c r="G4" s="27">
        <f>C4/D4</f>
        <v/>
      </c>
      <c r="H4" s="28">
        <f>IF(E4&lt;0,"Loss",IF(E4&lt;100,"Below avg",IF(E4&lt;300,"Good",IF(E4&lt;500,"Strong","Excellent"))))</f>
        <v/>
      </c>
    </row>
    <row r="5">
      <c r="A5" s="29" t="inlineStr">
        <is>
          <t>Google Ads - Brand</t>
        </is>
      </c>
      <c r="B5" s="29" t="inlineStr">
        <is>
          <t>Paid Search</t>
        </is>
      </c>
      <c r="C5" s="30" t="n">
        <v>15000</v>
      </c>
      <c r="D5" s="30" t="n">
        <v>4000</v>
      </c>
      <c r="E5" s="31">
        <f>(C5-D5)/D5*100</f>
        <v/>
      </c>
      <c r="F5" s="32">
        <f>C5-D5</f>
        <v/>
      </c>
      <c r="G5" s="33">
        <f>C5/D5</f>
        <v/>
      </c>
      <c r="H5" s="34">
        <f>IF(E5&lt;0,"Loss",IF(E5&lt;100,"Below avg",IF(E5&lt;300,"Good",IF(E5&lt;500,"Strong","Excellent"))))</f>
        <v/>
      </c>
    </row>
    <row r="6">
      <c r="A6" s="23" t="inlineStr">
        <is>
          <t>LinkedIn Lead Gen</t>
        </is>
      </c>
      <c r="B6" s="23" t="inlineStr">
        <is>
          <t>Paid Social</t>
        </is>
      </c>
      <c r="C6" s="24" t="n">
        <v>12000</v>
      </c>
      <c r="D6" s="24" t="n">
        <v>5000</v>
      </c>
      <c r="E6" s="25">
        <f>(C6-D6)/D6*100</f>
        <v/>
      </c>
      <c r="F6" s="26">
        <f>C6-D6</f>
        <v/>
      </c>
      <c r="G6" s="27">
        <f>C6/D6</f>
        <v/>
      </c>
      <c r="H6" s="28">
        <f>IF(E6&lt;0,"Loss",IF(E6&lt;100,"Below avg",IF(E6&lt;300,"Good",IF(E6&lt;500,"Strong","Excellent"))))</f>
        <v/>
      </c>
    </row>
    <row r="7">
      <c r="A7" s="29" t="inlineStr">
        <is>
          <t>Blog SEO Traffic</t>
        </is>
      </c>
      <c r="B7" s="29" t="inlineStr">
        <is>
          <t>Content</t>
        </is>
      </c>
      <c r="C7" s="30" t="n">
        <v>8000</v>
      </c>
      <c r="D7" s="30" t="n">
        <v>1500</v>
      </c>
      <c r="E7" s="31">
        <f>(C7-D7)/D7*100</f>
        <v/>
      </c>
      <c r="F7" s="32">
        <f>C7-D7</f>
        <v/>
      </c>
      <c r="G7" s="33">
        <f>C7/D7</f>
        <v/>
      </c>
      <c r="H7" s="34">
        <f>IF(E7&lt;0,"Loss",IF(E7&lt;100,"Below avg",IF(E7&lt;300,"Good",IF(E7&lt;500,"Strong","Excellent"))))</f>
        <v/>
      </c>
    </row>
    <row r="8">
      <c r="A8" s="23" t="inlineStr">
        <is>
          <t>Webinar Series</t>
        </is>
      </c>
      <c r="B8" s="23" t="inlineStr">
        <is>
          <t>Events</t>
        </is>
      </c>
      <c r="C8" s="24" t="n">
        <v>20000</v>
      </c>
      <c r="D8" s="24" t="n">
        <v>3000</v>
      </c>
      <c r="E8" s="25">
        <f>(C8-D8)/D8*100</f>
        <v/>
      </c>
      <c r="F8" s="26">
        <f>C8-D8</f>
        <v/>
      </c>
      <c r="G8" s="27">
        <f>C8/D8</f>
        <v/>
      </c>
      <c r="H8" s="28">
        <f>IF(E8&lt;0,"Loss",IF(E8&lt;100,"Below avg",IF(E8&lt;300,"Good",IF(E8&lt;500,"Strong","Excellent"))))</f>
        <v/>
      </c>
    </row>
    <row r="9">
      <c r="A9" s="35" t="inlineStr">
        <is>
          <t>TOTALS</t>
        </is>
      </c>
      <c r="C9" s="36">
        <f>SUM(C4:C8)</f>
        <v/>
      </c>
      <c r="D9" s="36">
        <f>SUM(D4:D8)</f>
        <v/>
      </c>
      <c r="E9" s="37">
        <f>IF(D9&gt;0,(C9-D9)/D9*100,0)</f>
        <v/>
      </c>
      <c r="F9" s="36">
        <f>SUM(F4:F8)</f>
        <v/>
      </c>
    </row>
    <row r="11">
      <c r="A11" s="6" t="inlineStr">
        <is>
          <t>Replace the blue cells with your own campaign data. ROMI and Assessment columns calculate automatically.</t>
        </is>
      </c>
    </row>
    <row r="12">
      <c r="A12" s="6" t="inlineStr">
        <is>
          <t>freemarketingcalculator.com — Free marketing tools, no signup required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2026-07-06T04:45:12Z</dcterms:created>
  <dcterms:modified xmlns:dcterms="http://purl.org/dc/terms/" xmlns:xsi="http://www.w3.org/2001/XMLSchema-instance" xsi:type="dcterms:W3CDTF">2026-07-06T04:45:12Z</dcterms:modified>
</cp:coreProperties>
</file>