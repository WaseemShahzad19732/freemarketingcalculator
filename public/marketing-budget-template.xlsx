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88ca812af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cb475eb910d84907"/>
    <x:sheet xmlns:r="http://schemas.openxmlformats.org/officeDocument/2006/relationships" name="Monthly inputs" sheetId="2" r:id="R62bc61b44eb9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0&quot; / 96&quot;"/>
    <x:numFmt numFmtId="202" formatCode="0.0%;(0.0%);&quot;-&quot;"/>
    <x:numFmt numFmtId="203" formatCode="0&quot; / 8&quot;"/>
    <x:numFmt numFmtId="204" formatCode="0&quot; / 12&quot;"/>
  </x:numFmts>
  <x:fonts count="11">
    <x:font>
      <x:sz val="11"/>
      <x:name val="Carlito"/>
    </x:font>
    <x:font>
      <x:sz val="11"/>
      <x:color rgb="FF172B45"/>
      <x:name val="Arial"/>
    </x:font>
    <x:font>
      <x:b/>
      <x:sz val="16"/>
      <x:color rgb="FF172B45"/>
      <x:name val="Arial"/>
    </x:font>
    <x:font>
      <x:i/>
      <x:sz val="11"/>
      <x:color rgb="FF172B45"/>
      <x:name val="Arial"/>
    </x:font>
    <x:font>
      <x:sz val="11"/>
      <x:color rgb="FF0000FF"/>
      <x:name val="Arial"/>
    </x:font>
    <x:font>
      <x:b/>
      <x:sz val="11"/>
      <x:color rgb="FF172B45"/>
      <x:name val="Arial"/>
    </x:font>
    <x:font>
      <x:b/>
      <x:sz val="14"/>
      <x:color rgb="FF172B45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i/>
      <x:sz val="11"/>
      <x:color rgb="FF000000"/>
      <x:name val="Arial"/>
    </x:font>
    <x:font>
      <x:sz val="11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2B45"/>
      </x:patternFill>
    </x:fill>
    <x:fill>
      <x:patternFill patternType="solid">
        <x:fgColor rgb="FFF1F5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EB4C5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vertical="center" wrapText="0"/>
    </x:xf>
    <x:xf numFmtId="200" fontId="8" fillId="2" borderId="0" xfId="0" applyNumberFormat="1" applyFont="1" applyFill="1" applyBorder="1" applyAlignment="1">
      <x:alignment vertical="center" wrapText="0"/>
    </x:xf>
    <x:xf numFmtId="200" fontId="8" fillId="0" borderId="0" xfId="0" applyNumberFormat="1" applyFont="1" applyFill="1" applyBorder="1" applyAlignment="1">
      <x:alignment vertical="center" wrapText="0"/>
    </x:xf>
    <x:xf numFmtId="202" fontId="8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9">
    <x:dxf>
      <x:font>
        <x:color rgb="FF9C28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28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28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28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28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d14bc032a470c" /><Relationship Type="http://schemas.openxmlformats.org/officeDocument/2006/relationships/theme" Target="/xl/theme/theme1.xml" Id="Rab5b4c47acdf4efb" /><Relationship Type="http://schemas.openxmlformats.org/officeDocument/2006/relationships/sharedStrings" Target="/xl/sharedStrings.xml" Id="R84b473f062c04ac7" /><Relationship Type="http://schemas.openxmlformats.org/officeDocument/2006/relationships/worksheet" Target="/xl/worksheets/sheet1.xml" Id="Rcb475eb910d84907" /><Relationship Type="http://schemas.openxmlformats.org/officeDocument/2006/relationships/worksheet" Target="/xl/worksheets/sheet2.xml" Id="R62bc61b44eb943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B45"/>
  </x:sheetPr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2" ht="30" customHeight="1">
      <x:c r="B2" s="5" t="str">
        <x:v>Marketing budget template</x:v>
      </x:c>
      <x:c r="C2" s="6"/>
      <x:c r="D2" s="6"/>
      <x:c r="E2" s="6"/>
      <x:c r="F2" s="6"/>
      <x:c r="G2" s="6"/>
      <x:c r="H2" s="6"/>
    </x:row>
    <x:row r="3" ht="23" customHeight="1">
      <x:c r="B3" s="7" t="str">
        <x:v>12-month plan and actuals. Enter amounts on Monthly inputs. No default allocations.</x:v>
      </x:c>
      <x:c r="C3" s="3"/>
      <x:c r="D3" s="3"/>
      <x:c r="E3" s="3"/>
      <x:c r="F3" s="3"/>
      <x:c r="G3" s="3"/>
      <x:c r="H3" s="3"/>
    </x:row>
    <x:row r="4" ht="23" customHeight="1">
      <x:c r="B4" s="3" t="str">
        <x:v>Planning period</x:v>
      </x:c>
      <x:c r="C4" s="9"/>
      <x:c r="D4" s="3"/>
      <x:c r="E4" s="3" t="str">
        <x:v>Enter your year or fiscal period in C4.</x:v>
      </x:c>
      <x:c r="F4" s="3"/>
      <x:c r="G4" s="3"/>
      <x:c r="H4" s="3"/>
    </x:row>
    <x:row r="5" ht="23" customHeight="1">
      <x:c r="B5" s="3" t="str">
        <x:v>Currency</x:v>
      </x:c>
      <x:c r="C5" s="9" t="str">
        <x:v>USD</x:v>
      </x:c>
      <x:c r="D5" s="3"/>
      <x:c r="E5" s="3" t="str">
        <x:v>Amounts share one currency; no FX conversion.</x:v>
      </x:c>
      <x:c r="F5" s="3"/>
      <x:c r="G5" s="3"/>
      <x:c r="H5" s="3"/>
    </x:row>
    <x:row r="6" ht="23" customHeight="1">
      <x:c r="B6" s="3"/>
      <x:c r="C6" s="3"/>
      <x:c r="D6" s="3"/>
      <x:c r="E6" s="3"/>
      <x:c r="F6" s="3"/>
      <x:c r="G6" s="3"/>
      <x:c r="H6" s="3"/>
    </x:row>
    <x:row r="7" ht="23" customHeight="1">
      <x:c r="B7" s="10" t="str">
        <x:v>Entered plan</x:v>
      </x:c>
      <x:c r="C7" s="10"/>
      <x:c r="D7" s="10" t="str">
        <x:v>Recorded actual</x:v>
      </x:c>
      <x:c r="E7" s="10"/>
      <x:c r="F7" s="10" t="str">
        <x:v>Actual minus plan</x:v>
      </x:c>
      <x:c r="G7" s="10"/>
      <x:c r="H7" s="10" t="str">
        <x:v>Actual cells entered</x:v>
      </x:c>
    </x:row>
    <x:row r="8" ht="23" customHeight="1">
      <x:c r="B8" s="12" t="str">
        <x:f>IF(COUNT('Monthly inputs'!D6:D101)=0,"",SUM('Monthly inputs'!D6:D101))</x:f>
      </x:c>
      <x:c r="C8" s="12"/>
      <x:c r="D8" s="12" t="str">
        <x:f>IF(COUNT('Monthly inputs'!E6:E101)=0,"",SUM('Monthly inputs'!E6:E101))</x:f>
      </x:c>
      <x:c r="E8" s="12"/>
      <x:c r="F8" s="12" t="str">
        <x:f>IF(COUNT('Monthly inputs'!D6:E101)=192,SUM('Monthly inputs'!E6:E101)-SUM('Monthly inputs'!D6:D101),"n.a.")</x:f>
        <x:v>n.a.</x:v>
      </x:c>
      <x:c r="G8" s="12"/>
      <x:c r="H8" s="14" t="n">
        <x:f>COUNT('Monthly inputs'!E6:E101)</x:f>
        <x:v>0</x:v>
      </x:c>
    </x:row>
    <x:row r="9" ht="23" customHeight="1">
      <x:c r="B9" s="3" t="str">
        <x:v>Plan cells entered</x:v>
      </x:c>
      <x:c r="C9" s="15" t="n">
        <x:f>COUNT('Monthly inputs'!D6:D101)</x:f>
        <x:v>0</x:v>
      </x:c>
      <x:c r="D9" s="3"/>
      <x:c r="E9" s="3"/>
      <x:c r="F9" s="3" t="str">
        <x:v>Variance %</x:v>
      </x:c>
      <x:c r="G9" s="16" t="str">
        <x:f>IF(COUNT('Monthly inputs'!D6:E101)=192,IF(SUM('Monthly inputs'!D6:D101)=0,"n.a.",F8/SUM('Monthly inputs'!D6:D101)),"n.a.")</x:f>
        <x:v>n.a.</x:v>
      </x:c>
      <x:c r="H9" s="3"/>
    </x:row>
    <x:row r="10" ht="23" customHeight="1">
      <x:c r="B10" s="7" t="str">
        <x:v>Leave future actuals blank. Enter 0 for confirmed no spend. Positive variance = overspend.</x:v>
      </x:c>
      <x:c r="C10" s="3"/>
      <x:c r="D10" s="3"/>
      <x:c r="E10" s="3"/>
      <x:c r="F10" s="3"/>
      <x:c r="G10" s="3"/>
      <x:c r="H10" s="3"/>
    </x:row>
    <x:row r="11" ht="23" customHeight="1">
      <x:c r="B11" s="3"/>
      <x:c r="C11" s="3"/>
      <x:c r="D11" s="3"/>
      <x:c r="E11" s="3"/>
      <x:c r="F11" s="3"/>
      <x:c r="G11" s="3"/>
      <x:c r="H11" s="3"/>
    </x:row>
    <x:row r="12" ht="34" customHeight="1">
      <x:c r="B12" s="20" t="str">
        <x:v>Month</x:v>
      </x:c>
      <x:c r="C12" s="20" t="str">
        <x:v>Plan</x:v>
      </x:c>
      <x:c r="D12" s="20" t="str">
        <x:v>Actual recorded</x:v>
      </x:c>
      <x:c r="E12" s="20" t="str">
        <x:v>Actual minus plan</x:v>
      </x:c>
      <x:c r="F12" s="20" t="str">
        <x:v>Variance %</x:v>
      </x:c>
      <x:c r="G12" s="20" t="str">
        <x:v>Planned channels</x:v>
      </x:c>
      <x:c r="H12" s="20" t="str">
        <x:v>Actual channels</x:v>
      </x:c>
    </x:row>
    <x:row r="13" ht="23" customHeight="1">
      <x:c r="B13" s="3" t="str">
        <x:v>Jan</x:v>
      </x:c>
      <x:c r="C13" s="11" t="str">
        <x:f>IF(COUNT('Monthly inputs'!D6:D13)=0,"",SUM('Monthly inputs'!D6:D13))</x:f>
      </x:c>
      <x:c r="D13" s="11" t="str">
        <x:f>IF(COUNT('Monthly inputs'!E6:E13)=0,"",SUM('Monthly inputs'!E6:E13))</x:f>
      </x:c>
      <x:c r="E13" s="11" t="str">
        <x:f>IF(COUNT('Monthly inputs'!D6:E13)=16,SUM('Monthly inputs'!E6:E13)-SUM('Monthly inputs'!D6:D13),"n.a.")</x:f>
        <x:v>n.a.</x:v>
      </x:c>
      <x:c r="F13" s="16" t="str">
        <x:f>IF(COUNT('Monthly inputs'!D6:E13)=16,IF(SUM('Monthly inputs'!D6:D13)=0,"n.a.",E13/SUM('Monthly inputs'!D6:D13)),"n.a.")</x:f>
        <x:v>n.a.</x:v>
      </x:c>
      <x:c r="G13" s="27" t="n">
        <x:f>COUNT('Monthly inputs'!D6:D13)</x:f>
        <x:v>0</x:v>
      </x:c>
      <x:c r="H13" s="27" t="n">
        <x:f>COUNT('Monthly inputs'!E6:E13)</x:f>
        <x:v>0</x:v>
      </x:c>
    </x:row>
    <x:row r="14" ht="23" customHeight="1">
      <x:c r="B14" s="3" t="str">
        <x:v>Feb</x:v>
      </x:c>
      <x:c r="C14" s="11" t="str">
        <x:f>IF(COUNT('Monthly inputs'!D14:D21)=0,"",SUM('Monthly inputs'!D14:D21))</x:f>
      </x:c>
      <x:c r="D14" s="11" t="str">
        <x:f>IF(COUNT('Monthly inputs'!E14:E21)=0,"",SUM('Monthly inputs'!E14:E21))</x:f>
      </x:c>
      <x:c r="E14" s="11" t="str">
        <x:f>IF(COUNT('Monthly inputs'!D14:E21)=16,SUM('Monthly inputs'!E14:E21)-SUM('Monthly inputs'!D14:D21),"n.a.")</x:f>
        <x:v>n.a.</x:v>
      </x:c>
      <x:c r="F14" s="16" t="str">
        <x:f>IF(COUNT('Monthly inputs'!D14:E21)=16,IF(SUM('Monthly inputs'!D14:D21)=0,"n.a.",E14/SUM('Monthly inputs'!D14:D21)),"n.a.")</x:f>
        <x:v>n.a.</x:v>
      </x:c>
      <x:c r="G14" s="27" t="n">
        <x:f>COUNT('Monthly inputs'!D14:D21)</x:f>
        <x:v>0</x:v>
      </x:c>
      <x:c r="H14" s="27" t="n">
        <x:f>COUNT('Monthly inputs'!E14:E21)</x:f>
        <x:v>0</x:v>
      </x:c>
    </x:row>
    <x:row r="15" ht="23" customHeight="1">
      <x:c r="B15" s="3" t="str">
        <x:v>Mar</x:v>
      </x:c>
      <x:c r="C15" s="11" t="str">
        <x:f>IF(COUNT('Monthly inputs'!D22:D29)=0,"",SUM('Monthly inputs'!D22:D29))</x:f>
      </x:c>
      <x:c r="D15" s="11" t="str">
        <x:f>IF(COUNT('Monthly inputs'!E22:E29)=0,"",SUM('Monthly inputs'!E22:E29))</x:f>
      </x:c>
      <x:c r="E15" s="11" t="str">
        <x:f>IF(COUNT('Monthly inputs'!D22:E29)=16,SUM('Monthly inputs'!E22:E29)-SUM('Monthly inputs'!D22:D29),"n.a.")</x:f>
        <x:v>n.a.</x:v>
      </x:c>
      <x:c r="F15" s="16" t="str">
        <x:f>IF(COUNT('Monthly inputs'!D22:E29)=16,IF(SUM('Monthly inputs'!D22:D29)=0,"n.a.",E15/SUM('Monthly inputs'!D22:D29)),"n.a.")</x:f>
        <x:v>n.a.</x:v>
      </x:c>
      <x:c r="G15" s="27" t="n">
        <x:f>COUNT('Monthly inputs'!D22:D29)</x:f>
        <x:v>0</x:v>
      </x:c>
      <x:c r="H15" s="27" t="n">
        <x:f>COUNT('Monthly inputs'!E22:E29)</x:f>
        <x:v>0</x:v>
      </x:c>
    </x:row>
    <x:row r="16" ht="23" customHeight="1">
      <x:c r="B16" s="3" t="str">
        <x:v>Apr</x:v>
      </x:c>
      <x:c r="C16" s="11" t="str">
        <x:f>IF(COUNT('Monthly inputs'!D30:D37)=0,"",SUM('Monthly inputs'!D30:D37))</x:f>
      </x:c>
      <x:c r="D16" s="11" t="str">
        <x:f>IF(COUNT('Monthly inputs'!E30:E37)=0,"",SUM('Monthly inputs'!E30:E37))</x:f>
      </x:c>
      <x:c r="E16" s="11" t="str">
        <x:f>IF(COUNT('Monthly inputs'!D30:E37)=16,SUM('Monthly inputs'!E30:E37)-SUM('Monthly inputs'!D30:D37),"n.a.")</x:f>
        <x:v>n.a.</x:v>
      </x:c>
      <x:c r="F16" s="16" t="str">
        <x:f>IF(COUNT('Monthly inputs'!D30:E37)=16,IF(SUM('Monthly inputs'!D30:D37)=0,"n.a.",E16/SUM('Monthly inputs'!D30:D37)),"n.a.")</x:f>
        <x:v>n.a.</x:v>
      </x:c>
      <x:c r="G16" s="27" t="n">
        <x:f>COUNT('Monthly inputs'!D30:D37)</x:f>
        <x:v>0</x:v>
      </x:c>
      <x:c r="H16" s="27" t="n">
        <x:f>COUNT('Monthly inputs'!E30:E37)</x:f>
        <x:v>0</x:v>
      </x:c>
    </x:row>
    <x:row r="17" ht="23" customHeight="1">
      <x:c r="B17" s="3" t="str">
        <x:v>May</x:v>
      </x:c>
      <x:c r="C17" s="11" t="str">
        <x:f>IF(COUNT('Monthly inputs'!D38:D45)=0,"",SUM('Monthly inputs'!D38:D45))</x:f>
      </x:c>
      <x:c r="D17" s="11" t="str">
        <x:f>IF(COUNT('Monthly inputs'!E38:E45)=0,"",SUM('Monthly inputs'!E38:E45))</x:f>
      </x:c>
      <x:c r="E17" s="11" t="str">
        <x:f>IF(COUNT('Monthly inputs'!D38:E45)=16,SUM('Monthly inputs'!E38:E45)-SUM('Monthly inputs'!D38:D45),"n.a.")</x:f>
        <x:v>n.a.</x:v>
      </x:c>
      <x:c r="F17" s="16" t="str">
        <x:f>IF(COUNT('Monthly inputs'!D38:E45)=16,IF(SUM('Monthly inputs'!D38:D45)=0,"n.a.",E17/SUM('Monthly inputs'!D38:D45)),"n.a.")</x:f>
        <x:v>n.a.</x:v>
      </x:c>
      <x:c r="G17" s="27" t="n">
        <x:f>COUNT('Monthly inputs'!D38:D45)</x:f>
        <x:v>0</x:v>
      </x:c>
      <x:c r="H17" s="27" t="n">
        <x:f>COUNT('Monthly inputs'!E38:E45)</x:f>
        <x:v>0</x:v>
      </x:c>
    </x:row>
    <x:row r="18" ht="23" customHeight="1">
      <x:c r="B18" s="3" t="str">
        <x:v>Jun</x:v>
      </x:c>
      <x:c r="C18" s="11" t="str">
        <x:f>IF(COUNT('Monthly inputs'!D46:D53)=0,"",SUM('Monthly inputs'!D46:D53))</x:f>
      </x:c>
      <x:c r="D18" s="11" t="str">
        <x:f>IF(COUNT('Monthly inputs'!E46:E53)=0,"",SUM('Monthly inputs'!E46:E53))</x:f>
      </x:c>
      <x:c r="E18" s="11" t="str">
        <x:f>IF(COUNT('Monthly inputs'!D46:E53)=16,SUM('Monthly inputs'!E46:E53)-SUM('Monthly inputs'!D46:D53),"n.a.")</x:f>
        <x:v>n.a.</x:v>
      </x:c>
      <x:c r="F18" s="16" t="str">
        <x:f>IF(COUNT('Monthly inputs'!D46:E53)=16,IF(SUM('Monthly inputs'!D46:D53)=0,"n.a.",E18/SUM('Monthly inputs'!D46:D53)),"n.a.")</x:f>
        <x:v>n.a.</x:v>
      </x:c>
      <x:c r="G18" s="27" t="n">
        <x:f>COUNT('Monthly inputs'!D46:D53)</x:f>
        <x:v>0</x:v>
      </x:c>
      <x:c r="H18" s="27" t="n">
        <x:f>COUNT('Monthly inputs'!E46:E53)</x:f>
        <x:v>0</x:v>
      </x:c>
    </x:row>
    <x:row r="19" ht="23" customHeight="1">
      <x:c r="B19" s="3" t="str">
        <x:v>Jul</x:v>
      </x:c>
      <x:c r="C19" s="11" t="str">
        <x:f>IF(COUNT('Monthly inputs'!D54:D61)=0,"",SUM('Monthly inputs'!D54:D61))</x:f>
      </x:c>
      <x:c r="D19" s="11" t="str">
        <x:f>IF(COUNT('Monthly inputs'!E54:E61)=0,"",SUM('Monthly inputs'!E54:E61))</x:f>
      </x:c>
      <x:c r="E19" s="11" t="str">
        <x:f>IF(COUNT('Monthly inputs'!D54:E61)=16,SUM('Monthly inputs'!E54:E61)-SUM('Monthly inputs'!D54:D61),"n.a.")</x:f>
        <x:v>n.a.</x:v>
      </x:c>
      <x:c r="F19" s="16" t="str">
        <x:f>IF(COUNT('Monthly inputs'!D54:E61)=16,IF(SUM('Monthly inputs'!D54:D61)=0,"n.a.",E19/SUM('Monthly inputs'!D54:D61)),"n.a.")</x:f>
        <x:v>n.a.</x:v>
      </x:c>
      <x:c r="G19" s="27" t="n">
        <x:f>COUNT('Monthly inputs'!D54:D61)</x:f>
        <x:v>0</x:v>
      </x:c>
      <x:c r="H19" s="27" t="n">
        <x:f>COUNT('Monthly inputs'!E54:E61)</x:f>
        <x:v>0</x:v>
      </x:c>
    </x:row>
    <x:row r="20" ht="23" customHeight="1">
      <x:c r="B20" s="3" t="str">
        <x:v>Aug</x:v>
      </x:c>
      <x:c r="C20" s="11" t="str">
        <x:f>IF(COUNT('Monthly inputs'!D62:D69)=0,"",SUM('Monthly inputs'!D62:D69))</x:f>
      </x:c>
      <x:c r="D20" s="11" t="str">
        <x:f>IF(COUNT('Monthly inputs'!E62:E69)=0,"",SUM('Monthly inputs'!E62:E69))</x:f>
      </x:c>
      <x:c r="E20" s="11" t="str">
        <x:f>IF(COUNT('Monthly inputs'!D62:E69)=16,SUM('Monthly inputs'!E62:E69)-SUM('Monthly inputs'!D62:D69),"n.a.")</x:f>
        <x:v>n.a.</x:v>
      </x:c>
      <x:c r="F20" s="16" t="str">
        <x:f>IF(COUNT('Monthly inputs'!D62:E69)=16,IF(SUM('Monthly inputs'!D62:D69)=0,"n.a.",E20/SUM('Monthly inputs'!D62:D69)),"n.a.")</x:f>
        <x:v>n.a.</x:v>
      </x:c>
      <x:c r="G20" s="27" t="n">
        <x:f>COUNT('Monthly inputs'!D62:D69)</x:f>
        <x:v>0</x:v>
      </x:c>
      <x:c r="H20" s="27" t="n">
        <x:f>COUNT('Monthly inputs'!E62:E69)</x:f>
        <x:v>0</x:v>
      </x:c>
    </x:row>
    <x:row r="21" ht="23" customHeight="1">
      <x:c r="B21" s="3" t="str">
        <x:v>Sep</x:v>
      </x:c>
      <x:c r="C21" s="11" t="str">
        <x:f>IF(COUNT('Monthly inputs'!D70:D77)=0,"",SUM('Monthly inputs'!D70:D77))</x:f>
      </x:c>
      <x:c r="D21" s="11" t="str">
        <x:f>IF(COUNT('Monthly inputs'!E70:E77)=0,"",SUM('Monthly inputs'!E70:E77))</x:f>
      </x:c>
      <x:c r="E21" s="11" t="str">
        <x:f>IF(COUNT('Monthly inputs'!D70:E77)=16,SUM('Monthly inputs'!E70:E77)-SUM('Monthly inputs'!D70:D77),"n.a.")</x:f>
        <x:v>n.a.</x:v>
      </x:c>
      <x:c r="F21" s="16" t="str">
        <x:f>IF(COUNT('Monthly inputs'!D70:E77)=16,IF(SUM('Monthly inputs'!D70:D77)=0,"n.a.",E21/SUM('Monthly inputs'!D70:D77)),"n.a.")</x:f>
        <x:v>n.a.</x:v>
      </x:c>
      <x:c r="G21" s="27" t="n">
        <x:f>COUNT('Monthly inputs'!D70:D77)</x:f>
        <x:v>0</x:v>
      </x:c>
      <x:c r="H21" s="27" t="n">
        <x:f>COUNT('Monthly inputs'!E70:E77)</x:f>
        <x:v>0</x:v>
      </x:c>
    </x:row>
    <x:row r="22" ht="23" customHeight="1">
      <x:c r="B22" s="3" t="str">
        <x:v>Oct</x:v>
      </x:c>
      <x:c r="C22" s="11" t="str">
        <x:f>IF(COUNT('Monthly inputs'!D78:D85)=0,"",SUM('Monthly inputs'!D78:D85))</x:f>
      </x:c>
      <x:c r="D22" s="11" t="str">
        <x:f>IF(COUNT('Monthly inputs'!E78:E85)=0,"",SUM('Monthly inputs'!E78:E85))</x:f>
      </x:c>
      <x:c r="E22" s="11" t="str">
        <x:f>IF(COUNT('Monthly inputs'!D78:E85)=16,SUM('Monthly inputs'!E78:E85)-SUM('Monthly inputs'!D78:D85),"n.a.")</x:f>
        <x:v>n.a.</x:v>
      </x:c>
      <x:c r="F22" s="16" t="str">
        <x:f>IF(COUNT('Monthly inputs'!D78:E85)=16,IF(SUM('Monthly inputs'!D78:D85)=0,"n.a.",E22/SUM('Monthly inputs'!D78:D85)),"n.a.")</x:f>
        <x:v>n.a.</x:v>
      </x:c>
      <x:c r="G22" s="27" t="n">
        <x:f>COUNT('Monthly inputs'!D78:D85)</x:f>
        <x:v>0</x:v>
      </x:c>
      <x:c r="H22" s="27" t="n">
        <x:f>COUNT('Monthly inputs'!E78:E85)</x:f>
        <x:v>0</x:v>
      </x:c>
    </x:row>
    <x:row r="23" ht="23" customHeight="1">
      <x:c r="B23" s="3" t="str">
        <x:v>Nov</x:v>
      </x:c>
      <x:c r="C23" s="11" t="str">
        <x:f>IF(COUNT('Monthly inputs'!D86:D93)=0,"",SUM('Monthly inputs'!D86:D93))</x:f>
      </x:c>
      <x:c r="D23" s="11" t="str">
        <x:f>IF(COUNT('Monthly inputs'!E86:E93)=0,"",SUM('Monthly inputs'!E86:E93))</x:f>
      </x:c>
      <x:c r="E23" s="11" t="str">
        <x:f>IF(COUNT('Monthly inputs'!D86:E93)=16,SUM('Monthly inputs'!E86:E93)-SUM('Monthly inputs'!D86:D93),"n.a.")</x:f>
        <x:v>n.a.</x:v>
      </x:c>
      <x:c r="F23" s="16" t="str">
        <x:f>IF(COUNT('Monthly inputs'!D86:E93)=16,IF(SUM('Monthly inputs'!D86:D93)=0,"n.a.",E23/SUM('Monthly inputs'!D86:D93)),"n.a.")</x:f>
        <x:v>n.a.</x:v>
      </x:c>
      <x:c r="G23" s="27" t="n">
        <x:f>COUNT('Monthly inputs'!D86:D93)</x:f>
        <x:v>0</x:v>
      </x:c>
      <x:c r="H23" s="27" t="n">
        <x:f>COUNT('Monthly inputs'!E86:E93)</x:f>
        <x:v>0</x:v>
      </x:c>
    </x:row>
    <x:row r="24" ht="23" customHeight="1">
      <x:c r="B24" s="3" t="str">
        <x:v>Dec</x:v>
      </x:c>
      <x:c r="C24" s="11" t="str">
        <x:f>IF(COUNT('Monthly inputs'!D94:D101)=0,"",SUM('Monthly inputs'!D94:D101))</x:f>
      </x:c>
      <x:c r="D24" s="11" t="str">
        <x:f>IF(COUNT('Monthly inputs'!E94:E101)=0,"",SUM('Monthly inputs'!E94:E101))</x:f>
      </x:c>
      <x:c r="E24" s="11" t="str">
        <x:f>IF(COUNT('Monthly inputs'!D94:E101)=16,SUM('Monthly inputs'!E94:E101)-SUM('Monthly inputs'!D94:D101),"n.a.")</x:f>
        <x:v>n.a.</x:v>
      </x:c>
      <x:c r="F24" s="16" t="str">
        <x:f>IF(COUNT('Monthly inputs'!D94:E101)=16,IF(SUM('Monthly inputs'!D94:D101)=0,"n.a.",E24/SUM('Monthly inputs'!D94:D101)),"n.a.")</x:f>
        <x:v>n.a.</x:v>
      </x:c>
      <x:c r="G24" s="27" t="n">
        <x:f>COUNT('Monthly inputs'!D94:D101)</x:f>
        <x:v>0</x:v>
      </x:c>
      <x:c r="H24" s="27" t="n">
        <x:f>COUNT('Monthly inputs'!E94:E101)</x:f>
        <x:v>0</x:v>
      </x:c>
    </x:row>
    <x:row r="25" ht="23" customHeight="1">
      <x:c r="B25" s="3"/>
      <x:c r="C25" s="3"/>
      <x:c r="D25" s="3"/>
      <x:c r="E25" s="3"/>
      <x:c r="F25" s="3"/>
      <x:c r="G25" s="3"/>
      <x:c r="H25" s="3"/>
    </x:row>
    <x:row r="26" ht="23" customHeight="1">
      <x:c r="B26" s="3"/>
      <x:c r="C26" s="3"/>
      <x:c r="D26" s="3"/>
      <x:c r="E26" s="3"/>
      <x:c r="F26" s="3"/>
      <x:c r="G26" s="3"/>
      <x:c r="H26" s="3"/>
    </x:row>
    <x:row r="27" ht="23" customHeight="1">
      <x:c r="B27" s="7" t="str">
        <x:v>Channel allocation is calculated from your complete annual plan, not a recommended split.</x:v>
      </x:c>
      <x:c r="C27" s="3"/>
      <x:c r="D27" s="3"/>
      <x:c r="E27" s="3"/>
      <x:c r="F27" s="3"/>
      <x:c r="G27" s="3"/>
      <x:c r="H27" s="3"/>
    </x:row>
    <x:row r="28" ht="34" customHeight="1">
      <x:c r="B28" s="20" t="str">
        <x:v>Channel</x:v>
      </x:c>
      <x:c r="C28" s="20" t="str">
        <x:v>Plan</x:v>
      </x:c>
      <x:c r="D28" s="20" t="str">
        <x:v>Actual recorded</x:v>
      </x:c>
      <x:c r="E28" s="20" t="str">
        <x:v>Annual plan share</x:v>
      </x:c>
      <x:c r="F28" s="20" t="str">
        <x:v>Actual minus plan</x:v>
      </x:c>
      <x:c r="G28" s="20" t="str">
        <x:v>Plan cells</x:v>
      </x:c>
      <x:c r="H28" s="20" t="str">
        <x:v>Actual cells</x:v>
      </x:c>
    </x:row>
    <x:row r="29" ht="23" customHeight="1">
      <x:c r="B29" s="9" t="str">
        <x:v>Paid search</x:v>
      </x:c>
      <x:c r="C29" s="11" t="str">
        <x:f>IF(COUNT('Monthly inputs'!D6,'Monthly inputs'!D14,'Monthly inputs'!D22,'Monthly inputs'!D30,'Monthly inputs'!D38,'Monthly inputs'!D46,'Monthly inputs'!D54,'Monthly inputs'!D62,'Monthly inputs'!D70,'Monthly inputs'!D78,'Monthly inputs'!D86,'Monthly inputs'!D94)=0,"",SUM('Monthly inputs'!D6,'Monthly inputs'!D14,'Monthly inputs'!D22,'Monthly inputs'!D30,'Monthly inputs'!D38,'Monthly inputs'!D46,'Monthly inputs'!D54,'Monthly inputs'!D62,'Monthly inputs'!D70,'Monthly inputs'!D78,'Monthly inputs'!D86,'Monthly inputs'!D94))</x:f>
      </x:c>
      <x:c r="D29" s="11" t="str">
        <x:f>IF(COUNT('Monthly inputs'!E6,'Monthly inputs'!E14,'Monthly inputs'!E22,'Monthly inputs'!E30,'Monthly inputs'!E38,'Monthly inputs'!E46,'Monthly inputs'!E54,'Monthly inputs'!E62,'Monthly inputs'!E70,'Monthly inputs'!E78,'Monthly inputs'!E86,'Monthly inputs'!E94)=0,"",SUM('Monthly inputs'!E6,'Monthly inputs'!E14,'Monthly inputs'!E22,'Monthly inputs'!E30,'Monthly inputs'!E38,'Monthly inputs'!E46,'Monthly inputs'!E54,'Monthly inputs'!E62,'Monthly inputs'!E70,'Monthly inputs'!E78,'Monthly inputs'!E86,'Monthly inputs'!E94))</x:f>
      </x:c>
      <x:c r="E29" s="16" t="str">
        <x:f>IF(COUNT('Monthly inputs'!$D$6:$D$101)=96,IF($B$8=0,"n.a.",C29/$B$8),"n.a.")</x:f>
        <x:v>n.a.</x:v>
      </x:c>
      <x:c r="F29" s="11" t="str">
        <x:f>IF(COUNT('Monthly inputs'!D6,'Monthly inputs'!D14,'Monthly inputs'!D22,'Monthly inputs'!D30,'Monthly inputs'!D38,'Monthly inputs'!D46,'Monthly inputs'!D54,'Monthly inputs'!D62,'Monthly inputs'!D70,'Monthly inputs'!D78,'Monthly inputs'!D86,'Monthly inputs'!D94,'Monthly inputs'!E6,'Monthly inputs'!E14,'Monthly inputs'!E22,'Monthly inputs'!E30,'Monthly inputs'!E38,'Monthly inputs'!E46,'Monthly inputs'!E54,'Monthly inputs'!E62,'Monthly inputs'!E70,'Monthly inputs'!E78,'Monthly inputs'!E86,'Monthly inputs'!E94)=24,SUM('Monthly inputs'!E6,'Monthly inputs'!E14,'Monthly inputs'!E22,'Monthly inputs'!E30,'Monthly inputs'!E38,'Monthly inputs'!E46,'Monthly inputs'!E54,'Monthly inputs'!E62,'Monthly inputs'!E70,'Monthly inputs'!E78,'Monthly inputs'!E86,'Monthly inputs'!E94)-SUM('Monthly inputs'!D6,'Monthly inputs'!D14,'Monthly inputs'!D22,'Monthly inputs'!D30,'Monthly inputs'!D38,'Monthly inputs'!D46,'Monthly inputs'!D54,'Monthly inputs'!D62,'Monthly inputs'!D70,'Monthly inputs'!D78,'Monthly inputs'!D86,'Monthly inputs'!D94),"n.a.")</x:f>
        <x:v>n.a.</x:v>
      </x:c>
      <x:c r="G29" s="28" t="n">
        <x:f>COUNT('Monthly inputs'!D6,'Monthly inputs'!D14,'Monthly inputs'!D22,'Monthly inputs'!D30,'Monthly inputs'!D38,'Monthly inputs'!D46,'Monthly inputs'!D54,'Monthly inputs'!D62,'Monthly inputs'!D70,'Monthly inputs'!D78,'Monthly inputs'!D86,'Monthly inputs'!D94)</x:f>
        <x:v>0</x:v>
      </x:c>
      <x:c r="H29" s="28" t="n">
        <x:f>COUNT('Monthly inputs'!E6,'Monthly inputs'!E14,'Monthly inputs'!E22,'Monthly inputs'!E30,'Monthly inputs'!E38,'Monthly inputs'!E46,'Monthly inputs'!E54,'Monthly inputs'!E62,'Monthly inputs'!E70,'Monthly inputs'!E78,'Monthly inputs'!E86,'Monthly inputs'!E94)</x:f>
        <x:v>0</x:v>
      </x:c>
    </x:row>
    <x:row r="30" ht="23" customHeight="1">
      <x:c r="B30" s="9" t="str">
        <x:v>Paid social</x:v>
      </x:c>
      <x:c r="C30" s="11" t="str">
        <x:f>IF(COUNT('Monthly inputs'!D7,'Monthly inputs'!D15,'Monthly inputs'!D23,'Monthly inputs'!D31,'Monthly inputs'!D39,'Monthly inputs'!D47,'Monthly inputs'!D55,'Monthly inputs'!D63,'Monthly inputs'!D71,'Monthly inputs'!D79,'Monthly inputs'!D87,'Monthly inputs'!D95)=0,"",SUM('Monthly inputs'!D7,'Monthly inputs'!D15,'Monthly inputs'!D23,'Monthly inputs'!D31,'Monthly inputs'!D39,'Monthly inputs'!D47,'Monthly inputs'!D55,'Monthly inputs'!D63,'Monthly inputs'!D71,'Monthly inputs'!D79,'Monthly inputs'!D87,'Monthly inputs'!D95))</x:f>
      </x:c>
      <x:c r="D30" s="11" t="str">
        <x:f>IF(COUNT('Monthly inputs'!E7,'Monthly inputs'!E15,'Monthly inputs'!E23,'Monthly inputs'!E31,'Monthly inputs'!E39,'Monthly inputs'!E47,'Monthly inputs'!E55,'Monthly inputs'!E63,'Monthly inputs'!E71,'Monthly inputs'!E79,'Monthly inputs'!E87,'Monthly inputs'!E95)=0,"",SUM('Monthly inputs'!E7,'Monthly inputs'!E15,'Monthly inputs'!E23,'Monthly inputs'!E31,'Monthly inputs'!E39,'Monthly inputs'!E47,'Monthly inputs'!E55,'Monthly inputs'!E63,'Monthly inputs'!E71,'Monthly inputs'!E79,'Monthly inputs'!E87,'Monthly inputs'!E95))</x:f>
      </x:c>
      <x:c r="E30" s="16" t="str">
        <x:f>IF(COUNT('Monthly inputs'!$D$6:$D$101)=96,IF($B$8=0,"n.a.",C30/$B$8),"n.a.")</x:f>
        <x:v>n.a.</x:v>
      </x:c>
      <x:c r="F30" s="11" t="str">
        <x:f>IF(COUNT('Monthly inputs'!D7,'Monthly inputs'!D15,'Monthly inputs'!D23,'Monthly inputs'!D31,'Monthly inputs'!D39,'Monthly inputs'!D47,'Monthly inputs'!D55,'Monthly inputs'!D63,'Monthly inputs'!D71,'Monthly inputs'!D79,'Monthly inputs'!D87,'Monthly inputs'!D95,'Monthly inputs'!E7,'Monthly inputs'!E15,'Monthly inputs'!E23,'Monthly inputs'!E31,'Monthly inputs'!E39,'Monthly inputs'!E47,'Monthly inputs'!E55,'Monthly inputs'!E63,'Monthly inputs'!E71,'Monthly inputs'!E79,'Monthly inputs'!E87,'Monthly inputs'!E95)=24,SUM('Monthly inputs'!E7,'Monthly inputs'!E15,'Monthly inputs'!E23,'Monthly inputs'!E31,'Monthly inputs'!E39,'Monthly inputs'!E47,'Monthly inputs'!E55,'Monthly inputs'!E63,'Monthly inputs'!E71,'Monthly inputs'!E79,'Monthly inputs'!E87,'Monthly inputs'!E95)-SUM('Monthly inputs'!D7,'Monthly inputs'!D15,'Monthly inputs'!D23,'Monthly inputs'!D31,'Monthly inputs'!D39,'Monthly inputs'!D47,'Monthly inputs'!D55,'Monthly inputs'!D63,'Monthly inputs'!D71,'Monthly inputs'!D79,'Monthly inputs'!D87,'Monthly inputs'!D95),"n.a.")</x:f>
        <x:v>n.a.</x:v>
      </x:c>
      <x:c r="G30" s="28" t="n">
        <x:f>COUNT('Monthly inputs'!D7,'Monthly inputs'!D15,'Monthly inputs'!D23,'Monthly inputs'!D31,'Monthly inputs'!D39,'Monthly inputs'!D47,'Monthly inputs'!D55,'Monthly inputs'!D63,'Monthly inputs'!D71,'Monthly inputs'!D79,'Monthly inputs'!D87,'Monthly inputs'!D95)</x:f>
        <x:v>0</x:v>
      </x:c>
      <x:c r="H30" s="28" t="n">
        <x:f>COUNT('Monthly inputs'!E7,'Monthly inputs'!E15,'Monthly inputs'!E23,'Monthly inputs'!E31,'Monthly inputs'!E39,'Monthly inputs'!E47,'Monthly inputs'!E55,'Monthly inputs'!E63,'Monthly inputs'!E71,'Monthly inputs'!E79,'Monthly inputs'!E87,'Monthly inputs'!E95)</x:f>
        <x:v>0</x:v>
      </x:c>
    </x:row>
    <x:row r="31" ht="23" customHeight="1">
      <x:c r="B31" s="9" t="str">
        <x:v>Content and SEO</x:v>
      </x:c>
      <x:c r="C31" s="11" t="str">
        <x:f>IF(COUNT('Monthly inputs'!D8,'Monthly inputs'!D16,'Monthly inputs'!D24,'Monthly inputs'!D32,'Monthly inputs'!D40,'Monthly inputs'!D48,'Monthly inputs'!D56,'Monthly inputs'!D64,'Monthly inputs'!D72,'Monthly inputs'!D80,'Monthly inputs'!D88,'Monthly inputs'!D96)=0,"",SUM('Monthly inputs'!D8,'Monthly inputs'!D16,'Monthly inputs'!D24,'Monthly inputs'!D32,'Monthly inputs'!D40,'Monthly inputs'!D48,'Monthly inputs'!D56,'Monthly inputs'!D64,'Monthly inputs'!D72,'Monthly inputs'!D80,'Monthly inputs'!D88,'Monthly inputs'!D96))</x:f>
      </x:c>
      <x:c r="D31" s="11" t="str">
        <x:f>IF(COUNT('Monthly inputs'!E8,'Monthly inputs'!E16,'Monthly inputs'!E24,'Monthly inputs'!E32,'Monthly inputs'!E40,'Monthly inputs'!E48,'Monthly inputs'!E56,'Monthly inputs'!E64,'Monthly inputs'!E72,'Monthly inputs'!E80,'Monthly inputs'!E88,'Monthly inputs'!E96)=0,"",SUM('Monthly inputs'!E8,'Monthly inputs'!E16,'Monthly inputs'!E24,'Monthly inputs'!E32,'Monthly inputs'!E40,'Monthly inputs'!E48,'Monthly inputs'!E56,'Monthly inputs'!E64,'Monthly inputs'!E72,'Monthly inputs'!E80,'Monthly inputs'!E88,'Monthly inputs'!E96))</x:f>
      </x:c>
      <x:c r="E31" s="16" t="str">
        <x:f>IF(COUNT('Monthly inputs'!$D$6:$D$101)=96,IF($B$8=0,"n.a.",C31/$B$8),"n.a.")</x:f>
        <x:v>n.a.</x:v>
      </x:c>
      <x:c r="F31" s="11" t="str">
        <x:f>IF(COUNT('Monthly inputs'!D8,'Monthly inputs'!D16,'Monthly inputs'!D24,'Monthly inputs'!D32,'Monthly inputs'!D40,'Monthly inputs'!D48,'Monthly inputs'!D56,'Monthly inputs'!D64,'Monthly inputs'!D72,'Monthly inputs'!D80,'Monthly inputs'!D88,'Monthly inputs'!D96,'Monthly inputs'!E8,'Monthly inputs'!E16,'Monthly inputs'!E24,'Monthly inputs'!E32,'Monthly inputs'!E40,'Monthly inputs'!E48,'Monthly inputs'!E56,'Monthly inputs'!E64,'Monthly inputs'!E72,'Monthly inputs'!E80,'Monthly inputs'!E88,'Monthly inputs'!E96)=24,SUM('Monthly inputs'!E8,'Monthly inputs'!E16,'Monthly inputs'!E24,'Monthly inputs'!E32,'Monthly inputs'!E40,'Monthly inputs'!E48,'Monthly inputs'!E56,'Monthly inputs'!E64,'Monthly inputs'!E72,'Monthly inputs'!E80,'Monthly inputs'!E88,'Monthly inputs'!E96)-SUM('Monthly inputs'!D8,'Monthly inputs'!D16,'Monthly inputs'!D24,'Monthly inputs'!D32,'Monthly inputs'!D40,'Monthly inputs'!D48,'Monthly inputs'!D56,'Monthly inputs'!D64,'Monthly inputs'!D72,'Monthly inputs'!D80,'Monthly inputs'!D88,'Monthly inputs'!D96),"n.a.")</x:f>
        <x:v>n.a.</x:v>
      </x:c>
      <x:c r="G31" s="28" t="n">
        <x:f>COUNT('Monthly inputs'!D8,'Monthly inputs'!D16,'Monthly inputs'!D24,'Monthly inputs'!D32,'Monthly inputs'!D40,'Monthly inputs'!D48,'Monthly inputs'!D56,'Monthly inputs'!D64,'Monthly inputs'!D72,'Monthly inputs'!D80,'Monthly inputs'!D88,'Monthly inputs'!D96)</x:f>
        <x:v>0</x:v>
      </x:c>
      <x:c r="H31" s="28" t="n">
        <x:f>COUNT('Monthly inputs'!E8,'Monthly inputs'!E16,'Monthly inputs'!E24,'Monthly inputs'!E32,'Monthly inputs'!E40,'Monthly inputs'!E48,'Monthly inputs'!E56,'Monthly inputs'!E64,'Monthly inputs'!E72,'Monthly inputs'!E80,'Monthly inputs'!E88,'Monthly inputs'!E96)</x:f>
        <x:v>0</x:v>
      </x:c>
    </x:row>
    <x:row r="32" ht="23" customHeight="1">
      <x:c r="B32" s="9" t="str">
        <x:v>Email</x:v>
      </x:c>
      <x:c r="C32" s="11" t="str">
        <x:f>IF(COUNT('Monthly inputs'!D9,'Monthly inputs'!D17,'Monthly inputs'!D25,'Monthly inputs'!D33,'Monthly inputs'!D41,'Monthly inputs'!D49,'Monthly inputs'!D57,'Monthly inputs'!D65,'Monthly inputs'!D73,'Monthly inputs'!D81,'Monthly inputs'!D89,'Monthly inputs'!D97)=0,"",SUM('Monthly inputs'!D9,'Monthly inputs'!D17,'Monthly inputs'!D25,'Monthly inputs'!D33,'Monthly inputs'!D41,'Monthly inputs'!D49,'Monthly inputs'!D57,'Monthly inputs'!D65,'Monthly inputs'!D73,'Monthly inputs'!D81,'Monthly inputs'!D89,'Monthly inputs'!D97))</x:f>
      </x:c>
      <x:c r="D32" s="11" t="str">
        <x:f>IF(COUNT('Monthly inputs'!E9,'Monthly inputs'!E17,'Monthly inputs'!E25,'Monthly inputs'!E33,'Monthly inputs'!E41,'Monthly inputs'!E49,'Monthly inputs'!E57,'Monthly inputs'!E65,'Monthly inputs'!E73,'Monthly inputs'!E81,'Monthly inputs'!E89,'Monthly inputs'!E97)=0,"",SUM('Monthly inputs'!E9,'Monthly inputs'!E17,'Monthly inputs'!E25,'Monthly inputs'!E33,'Monthly inputs'!E41,'Monthly inputs'!E49,'Monthly inputs'!E57,'Monthly inputs'!E65,'Monthly inputs'!E73,'Monthly inputs'!E81,'Monthly inputs'!E89,'Monthly inputs'!E97))</x:f>
      </x:c>
      <x:c r="E32" s="16" t="str">
        <x:f>IF(COUNT('Monthly inputs'!$D$6:$D$101)=96,IF($B$8=0,"n.a.",C32/$B$8),"n.a.")</x:f>
        <x:v>n.a.</x:v>
      </x:c>
      <x:c r="F32" s="11" t="str">
        <x:f>IF(COUNT('Monthly inputs'!D9,'Monthly inputs'!D17,'Monthly inputs'!D25,'Monthly inputs'!D33,'Monthly inputs'!D41,'Monthly inputs'!D49,'Monthly inputs'!D57,'Monthly inputs'!D65,'Monthly inputs'!D73,'Monthly inputs'!D81,'Monthly inputs'!D89,'Monthly inputs'!D97,'Monthly inputs'!E9,'Monthly inputs'!E17,'Monthly inputs'!E25,'Monthly inputs'!E33,'Monthly inputs'!E41,'Monthly inputs'!E49,'Monthly inputs'!E57,'Monthly inputs'!E65,'Monthly inputs'!E73,'Monthly inputs'!E81,'Monthly inputs'!E89,'Monthly inputs'!E97)=24,SUM('Monthly inputs'!E9,'Monthly inputs'!E17,'Monthly inputs'!E25,'Monthly inputs'!E33,'Monthly inputs'!E41,'Monthly inputs'!E49,'Monthly inputs'!E57,'Monthly inputs'!E65,'Monthly inputs'!E73,'Monthly inputs'!E81,'Monthly inputs'!E89,'Monthly inputs'!E97)-SUM('Monthly inputs'!D9,'Monthly inputs'!D17,'Monthly inputs'!D25,'Monthly inputs'!D33,'Monthly inputs'!D41,'Monthly inputs'!D49,'Monthly inputs'!D57,'Monthly inputs'!D65,'Monthly inputs'!D73,'Monthly inputs'!D81,'Monthly inputs'!D89,'Monthly inputs'!D97),"n.a.")</x:f>
        <x:v>n.a.</x:v>
      </x:c>
      <x:c r="G32" s="28" t="n">
        <x:f>COUNT('Monthly inputs'!D9,'Monthly inputs'!D17,'Monthly inputs'!D25,'Monthly inputs'!D33,'Monthly inputs'!D41,'Monthly inputs'!D49,'Monthly inputs'!D57,'Monthly inputs'!D65,'Monthly inputs'!D73,'Monthly inputs'!D81,'Monthly inputs'!D89,'Monthly inputs'!D97)</x:f>
        <x:v>0</x:v>
      </x:c>
      <x:c r="H32" s="28" t="n">
        <x:f>COUNT('Monthly inputs'!E9,'Monthly inputs'!E17,'Monthly inputs'!E25,'Monthly inputs'!E33,'Monthly inputs'!E41,'Monthly inputs'!E49,'Monthly inputs'!E57,'Monthly inputs'!E65,'Monthly inputs'!E73,'Monthly inputs'!E81,'Monthly inputs'!E89,'Monthly inputs'!E97)</x:f>
        <x:v>0</x:v>
      </x:c>
    </x:row>
    <x:row r="33" ht="23" customHeight="1">
      <x:c r="B33" s="9" t="str">
        <x:v>Events</x:v>
      </x:c>
      <x:c r="C33" s="11" t="str">
        <x:f>IF(COUNT('Monthly inputs'!D10,'Monthly inputs'!D18,'Monthly inputs'!D26,'Monthly inputs'!D34,'Monthly inputs'!D42,'Monthly inputs'!D50,'Monthly inputs'!D58,'Monthly inputs'!D66,'Monthly inputs'!D74,'Monthly inputs'!D82,'Monthly inputs'!D90,'Monthly inputs'!D98)=0,"",SUM('Monthly inputs'!D10,'Monthly inputs'!D18,'Monthly inputs'!D26,'Monthly inputs'!D34,'Monthly inputs'!D42,'Monthly inputs'!D50,'Monthly inputs'!D58,'Monthly inputs'!D66,'Monthly inputs'!D74,'Monthly inputs'!D82,'Monthly inputs'!D90,'Monthly inputs'!D98))</x:f>
      </x:c>
      <x:c r="D33" s="11" t="str">
        <x:f>IF(COUNT('Monthly inputs'!E10,'Monthly inputs'!E18,'Monthly inputs'!E26,'Monthly inputs'!E34,'Monthly inputs'!E42,'Monthly inputs'!E50,'Monthly inputs'!E58,'Monthly inputs'!E66,'Monthly inputs'!E74,'Monthly inputs'!E82,'Monthly inputs'!E90,'Monthly inputs'!E98)=0,"",SUM('Monthly inputs'!E10,'Monthly inputs'!E18,'Monthly inputs'!E26,'Monthly inputs'!E34,'Monthly inputs'!E42,'Monthly inputs'!E50,'Monthly inputs'!E58,'Monthly inputs'!E66,'Monthly inputs'!E74,'Monthly inputs'!E82,'Monthly inputs'!E90,'Monthly inputs'!E98))</x:f>
      </x:c>
      <x:c r="E33" s="16" t="str">
        <x:f>IF(COUNT('Monthly inputs'!$D$6:$D$101)=96,IF($B$8=0,"n.a.",C33/$B$8),"n.a.")</x:f>
        <x:v>n.a.</x:v>
      </x:c>
      <x:c r="F33" s="11" t="str">
        <x:f>IF(COUNT('Monthly inputs'!D10,'Monthly inputs'!D18,'Monthly inputs'!D26,'Monthly inputs'!D34,'Monthly inputs'!D42,'Monthly inputs'!D50,'Monthly inputs'!D58,'Monthly inputs'!D66,'Monthly inputs'!D74,'Monthly inputs'!D82,'Monthly inputs'!D90,'Monthly inputs'!D98,'Monthly inputs'!E10,'Monthly inputs'!E18,'Monthly inputs'!E26,'Monthly inputs'!E34,'Monthly inputs'!E42,'Monthly inputs'!E50,'Monthly inputs'!E58,'Monthly inputs'!E66,'Monthly inputs'!E74,'Monthly inputs'!E82,'Monthly inputs'!E90,'Monthly inputs'!E98)=24,SUM('Monthly inputs'!E10,'Monthly inputs'!E18,'Monthly inputs'!E26,'Monthly inputs'!E34,'Monthly inputs'!E42,'Monthly inputs'!E50,'Monthly inputs'!E58,'Monthly inputs'!E66,'Monthly inputs'!E74,'Monthly inputs'!E82,'Monthly inputs'!E90,'Monthly inputs'!E98)-SUM('Monthly inputs'!D10,'Monthly inputs'!D18,'Monthly inputs'!D26,'Monthly inputs'!D34,'Monthly inputs'!D42,'Monthly inputs'!D50,'Monthly inputs'!D58,'Monthly inputs'!D66,'Monthly inputs'!D74,'Monthly inputs'!D82,'Monthly inputs'!D90,'Monthly inputs'!D98),"n.a.")</x:f>
        <x:v>n.a.</x:v>
      </x:c>
      <x:c r="G33" s="28" t="n">
        <x:f>COUNT('Monthly inputs'!D10,'Monthly inputs'!D18,'Monthly inputs'!D26,'Monthly inputs'!D34,'Monthly inputs'!D42,'Monthly inputs'!D50,'Monthly inputs'!D58,'Monthly inputs'!D66,'Monthly inputs'!D74,'Monthly inputs'!D82,'Monthly inputs'!D90,'Monthly inputs'!D98)</x:f>
        <x:v>0</x:v>
      </x:c>
      <x:c r="H33" s="28" t="n">
        <x:f>COUNT('Monthly inputs'!E10,'Monthly inputs'!E18,'Monthly inputs'!E26,'Monthly inputs'!E34,'Monthly inputs'!E42,'Monthly inputs'!E50,'Monthly inputs'!E58,'Monthly inputs'!E66,'Monthly inputs'!E74,'Monthly inputs'!E82,'Monthly inputs'!E90,'Monthly inputs'!E98)</x:f>
        <x:v>0</x:v>
      </x:c>
    </x:row>
    <x:row r="34" ht="23" customHeight="1">
      <x:c r="B34" s="9" t="str">
        <x:v>Tools and software</x:v>
      </x:c>
      <x:c r="C34" s="11" t="str">
        <x:f>IF(COUNT('Monthly inputs'!D11,'Monthly inputs'!D19,'Monthly inputs'!D27,'Monthly inputs'!D35,'Monthly inputs'!D43,'Monthly inputs'!D51,'Monthly inputs'!D59,'Monthly inputs'!D67,'Monthly inputs'!D75,'Monthly inputs'!D83,'Monthly inputs'!D91,'Monthly inputs'!D99)=0,"",SUM('Monthly inputs'!D11,'Monthly inputs'!D19,'Monthly inputs'!D27,'Monthly inputs'!D35,'Monthly inputs'!D43,'Monthly inputs'!D51,'Monthly inputs'!D59,'Monthly inputs'!D67,'Monthly inputs'!D75,'Monthly inputs'!D83,'Monthly inputs'!D91,'Monthly inputs'!D99))</x:f>
      </x:c>
      <x:c r="D34" s="11" t="str">
        <x:f>IF(COUNT('Monthly inputs'!E11,'Monthly inputs'!E19,'Monthly inputs'!E27,'Monthly inputs'!E35,'Monthly inputs'!E43,'Monthly inputs'!E51,'Monthly inputs'!E59,'Monthly inputs'!E67,'Monthly inputs'!E75,'Monthly inputs'!E83,'Monthly inputs'!E91,'Monthly inputs'!E99)=0,"",SUM('Monthly inputs'!E11,'Monthly inputs'!E19,'Monthly inputs'!E27,'Monthly inputs'!E35,'Monthly inputs'!E43,'Monthly inputs'!E51,'Monthly inputs'!E59,'Monthly inputs'!E67,'Monthly inputs'!E75,'Monthly inputs'!E83,'Monthly inputs'!E91,'Monthly inputs'!E99))</x:f>
      </x:c>
      <x:c r="E34" s="16" t="str">
        <x:f>IF(COUNT('Monthly inputs'!$D$6:$D$101)=96,IF($B$8=0,"n.a.",C34/$B$8),"n.a.")</x:f>
        <x:v>n.a.</x:v>
      </x:c>
      <x:c r="F34" s="11" t="str">
        <x:f>IF(COUNT('Monthly inputs'!D11,'Monthly inputs'!D19,'Monthly inputs'!D27,'Monthly inputs'!D35,'Monthly inputs'!D43,'Monthly inputs'!D51,'Monthly inputs'!D59,'Monthly inputs'!D67,'Monthly inputs'!D75,'Monthly inputs'!D83,'Monthly inputs'!D91,'Monthly inputs'!D99,'Monthly inputs'!E11,'Monthly inputs'!E19,'Monthly inputs'!E27,'Monthly inputs'!E35,'Monthly inputs'!E43,'Monthly inputs'!E51,'Monthly inputs'!E59,'Monthly inputs'!E67,'Monthly inputs'!E75,'Monthly inputs'!E83,'Monthly inputs'!E91,'Monthly inputs'!E99)=24,SUM('Monthly inputs'!E11,'Monthly inputs'!E19,'Monthly inputs'!E27,'Monthly inputs'!E35,'Monthly inputs'!E43,'Monthly inputs'!E51,'Monthly inputs'!E59,'Monthly inputs'!E67,'Monthly inputs'!E75,'Monthly inputs'!E83,'Monthly inputs'!E91,'Monthly inputs'!E99)-SUM('Monthly inputs'!D11,'Monthly inputs'!D19,'Monthly inputs'!D27,'Monthly inputs'!D35,'Monthly inputs'!D43,'Monthly inputs'!D51,'Monthly inputs'!D59,'Monthly inputs'!D67,'Monthly inputs'!D75,'Monthly inputs'!D83,'Monthly inputs'!D91,'Monthly inputs'!D99),"n.a.")</x:f>
        <x:v>n.a.</x:v>
      </x:c>
      <x:c r="G34" s="28" t="n">
        <x:f>COUNT('Monthly inputs'!D11,'Monthly inputs'!D19,'Monthly inputs'!D27,'Monthly inputs'!D35,'Monthly inputs'!D43,'Monthly inputs'!D51,'Monthly inputs'!D59,'Monthly inputs'!D67,'Monthly inputs'!D75,'Monthly inputs'!D83,'Monthly inputs'!D91,'Monthly inputs'!D99)</x:f>
        <x:v>0</x:v>
      </x:c>
      <x:c r="H34" s="28" t="n">
        <x:f>COUNT('Monthly inputs'!E11,'Monthly inputs'!E19,'Monthly inputs'!E27,'Monthly inputs'!E35,'Monthly inputs'!E43,'Monthly inputs'!E51,'Monthly inputs'!E59,'Monthly inputs'!E67,'Monthly inputs'!E75,'Monthly inputs'!E83,'Monthly inputs'!E91,'Monthly inputs'!E99)</x:f>
        <x:v>0</x:v>
      </x:c>
    </x:row>
    <x:row r="35" ht="23" customHeight="1">
      <x:c r="B35" s="9" t="str">
        <x:v>Agency and freelance</x:v>
      </x:c>
      <x:c r="C35" s="11" t="str">
        <x:f>IF(COUNT('Monthly inputs'!D12,'Monthly inputs'!D20,'Monthly inputs'!D28,'Monthly inputs'!D36,'Monthly inputs'!D44,'Monthly inputs'!D52,'Monthly inputs'!D60,'Monthly inputs'!D68,'Monthly inputs'!D76,'Monthly inputs'!D84,'Monthly inputs'!D92,'Monthly inputs'!D100)=0,"",SUM('Monthly inputs'!D12,'Monthly inputs'!D20,'Monthly inputs'!D28,'Monthly inputs'!D36,'Monthly inputs'!D44,'Monthly inputs'!D52,'Monthly inputs'!D60,'Monthly inputs'!D68,'Monthly inputs'!D76,'Monthly inputs'!D84,'Monthly inputs'!D92,'Monthly inputs'!D100))</x:f>
      </x:c>
      <x:c r="D35" s="11" t="str">
        <x:f>IF(COUNT('Monthly inputs'!E12,'Monthly inputs'!E20,'Monthly inputs'!E28,'Monthly inputs'!E36,'Monthly inputs'!E44,'Monthly inputs'!E52,'Monthly inputs'!E60,'Monthly inputs'!E68,'Monthly inputs'!E76,'Monthly inputs'!E84,'Monthly inputs'!E92,'Monthly inputs'!E100)=0,"",SUM('Monthly inputs'!E12,'Monthly inputs'!E20,'Monthly inputs'!E28,'Monthly inputs'!E36,'Monthly inputs'!E44,'Monthly inputs'!E52,'Monthly inputs'!E60,'Monthly inputs'!E68,'Monthly inputs'!E76,'Monthly inputs'!E84,'Monthly inputs'!E92,'Monthly inputs'!E100))</x:f>
      </x:c>
      <x:c r="E35" s="16" t="str">
        <x:f>IF(COUNT('Monthly inputs'!$D$6:$D$101)=96,IF($B$8=0,"n.a.",C35/$B$8),"n.a.")</x:f>
        <x:v>n.a.</x:v>
      </x:c>
      <x:c r="F35" s="11" t="str">
        <x:f>IF(COUNT('Monthly inputs'!D12,'Monthly inputs'!D20,'Monthly inputs'!D28,'Monthly inputs'!D36,'Monthly inputs'!D44,'Monthly inputs'!D52,'Monthly inputs'!D60,'Monthly inputs'!D68,'Monthly inputs'!D76,'Monthly inputs'!D84,'Monthly inputs'!D92,'Monthly inputs'!D100,'Monthly inputs'!E12,'Monthly inputs'!E20,'Monthly inputs'!E28,'Monthly inputs'!E36,'Monthly inputs'!E44,'Monthly inputs'!E52,'Monthly inputs'!E60,'Monthly inputs'!E68,'Monthly inputs'!E76,'Monthly inputs'!E84,'Monthly inputs'!E92,'Monthly inputs'!E100)=24,SUM('Monthly inputs'!E12,'Monthly inputs'!E20,'Monthly inputs'!E28,'Monthly inputs'!E36,'Monthly inputs'!E44,'Monthly inputs'!E52,'Monthly inputs'!E60,'Monthly inputs'!E68,'Monthly inputs'!E76,'Monthly inputs'!E84,'Monthly inputs'!E92,'Monthly inputs'!E100)-SUM('Monthly inputs'!D12,'Monthly inputs'!D20,'Monthly inputs'!D28,'Monthly inputs'!D36,'Monthly inputs'!D44,'Monthly inputs'!D52,'Monthly inputs'!D60,'Monthly inputs'!D68,'Monthly inputs'!D76,'Monthly inputs'!D84,'Monthly inputs'!D92,'Monthly inputs'!D100),"n.a.")</x:f>
        <x:v>n.a.</x:v>
      </x:c>
      <x:c r="G35" s="28" t="n">
        <x:f>COUNT('Monthly inputs'!D12,'Monthly inputs'!D20,'Monthly inputs'!D28,'Monthly inputs'!D36,'Monthly inputs'!D44,'Monthly inputs'!D52,'Monthly inputs'!D60,'Monthly inputs'!D68,'Monthly inputs'!D76,'Monthly inputs'!D84,'Monthly inputs'!D92,'Monthly inputs'!D100)</x:f>
        <x:v>0</x:v>
      </x:c>
      <x:c r="H35" s="28" t="n">
        <x:f>COUNT('Monthly inputs'!E12,'Monthly inputs'!E20,'Monthly inputs'!E28,'Monthly inputs'!E36,'Monthly inputs'!E44,'Monthly inputs'!E52,'Monthly inputs'!E60,'Monthly inputs'!E68,'Monthly inputs'!E76,'Monthly inputs'!E84,'Monthly inputs'!E92,'Monthly inputs'!E100)</x:f>
        <x:v>0</x:v>
      </x:c>
    </x:row>
    <x:row r="36" ht="23" customHeight="1">
      <x:c r="B36" s="9" t="str">
        <x:v>Other</x:v>
      </x:c>
      <x:c r="C36" s="11" t="str">
        <x:f>IF(COUNT('Monthly inputs'!D13,'Monthly inputs'!D21,'Monthly inputs'!D29,'Monthly inputs'!D37,'Monthly inputs'!D45,'Monthly inputs'!D53,'Monthly inputs'!D61,'Monthly inputs'!D69,'Monthly inputs'!D77,'Monthly inputs'!D85,'Monthly inputs'!D93,'Monthly inputs'!D101)=0,"",SUM('Monthly inputs'!D13,'Monthly inputs'!D21,'Monthly inputs'!D29,'Monthly inputs'!D37,'Monthly inputs'!D45,'Monthly inputs'!D53,'Monthly inputs'!D61,'Monthly inputs'!D69,'Monthly inputs'!D77,'Monthly inputs'!D85,'Monthly inputs'!D93,'Monthly inputs'!D101))</x:f>
      </x:c>
      <x:c r="D36" s="11" t="str">
        <x:f>IF(COUNT('Monthly inputs'!E13,'Monthly inputs'!E21,'Monthly inputs'!E29,'Monthly inputs'!E37,'Monthly inputs'!E45,'Monthly inputs'!E53,'Monthly inputs'!E61,'Monthly inputs'!E69,'Monthly inputs'!E77,'Monthly inputs'!E85,'Monthly inputs'!E93,'Monthly inputs'!E101)=0,"",SUM('Monthly inputs'!E13,'Monthly inputs'!E21,'Monthly inputs'!E29,'Monthly inputs'!E37,'Monthly inputs'!E45,'Monthly inputs'!E53,'Monthly inputs'!E61,'Monthly inputs'!E69,'Monthly inputs'!E77,'Monthly inputs'!E85,'Monthly inputs'!E93,'Monthly inputs'!E101))</x:f>
      </x:c>
      <x:c r="E36" s="16" t="str">
        <x:f>IF(COUNT('Monthly inputs'!$D$6:$D$101)=96,IF($B$8=0,"n.a.",C36/$B$8),"n.a.")</x:f>
        <x:v>n.a.</x:v>
      </x:c>
      <x:c r="F36" s="11" t="str">
        <x:f>IF(COUNT('Monthly inputs'!D13,'Monthly inputs'!D21,'Monthly inputs'!D29,'Monthly inputs'!D37,'Monthly inputs'!D45,'Monthly inputs'!D53,'Monthly inputs'!D61,'Monthly inputs'!D69,'Monthly inputs'!D77,'Monthly inputs'!D85,'Monthly inputs'!D93,'Monthly inputs'!D101,'Monthly inputs'!E13,'Monthly inputs'!E21,'Monthly inputs'!E29,'Monthly inputs'!E37,'Monthly inputs'!E45,'Monthly inputs'!E53,'Monthly inputs'!E61,'Monthly inputs'!E69,'Monthly inputs'!E77,'Monthly inputs'!E85,'Monthly inputs'!E93,'Monthly inputs'!E101)=24,SUM('Monthly inputs'!E13,'Monthly inputs'!E21,'Monthly inputs'!E29,'Monthly inputs'!E37,'Monthly inputs'!E45,'Monthly inputs'!E53,'Monthly inputs'!E61,'Monthly inputs'!E69,'Monthly inputs'!E77,'Monthly inputs'!E85,'Monthly inputs'!E93,'Monthly inputs'!E101)-SUM('Monthly inputs'!D13,'Monthly inputs'!D21,'Monthly inputs'!D29,'Monthly inputs'!D37,'Monthly inputs'!D45,'Monthly inputs'!D53,'Monthly inputs'!D61,'Monthly inputs'!D69,'Monthly inputs'!D77,'Monthly inputs'!D85,'Monthly inputs'!D93,'Monthly inputs'!D101),"n.a.")</x:f>
        <x:v>n.a.</x:v>
      </x:c>
      <x:c r="G36" s="28" t="n">
        <x:f>COUNT('Monthly inputs'!D13,'Monthly inputs'!D21,'Monthly inputs'!D29,'Monthly inputs'!D37,'Monthly inputs'!D45,'Monthly inputs'!D53,'Monthly inputs'!D61,'Monthly inputs'!D69,'Monthly inputs'!D77,'Monthly inputs'!D85,'Monthly inputs'!D93,'Monthly inputs'!D101)</x:f>
        <x:v>0</x:v>
      </x:c>
      <x:c r="H36" s="28" t="n">
        <x:f>COUNT('Monthly inputs'!E13,'Monthly inputs'!E21,'Monthly inputs'!E29,'Monthly inputs'!E37,'Monthly inputs'!E45,'Monthly inputs'!E53,'Monthly inputs'!E61,'Monthly inputs'!E69,'Monthly inputs'!E77,'Monthly inputs'!E85,'Monthly inputs'!E93,'Monthly inputs'!E101)</x:f>
        <x:v>0</x:v>
      </x:c>
    </x:row>
    <x:row r="37" ht="23" customHeight="1">
      <x:c r="B37" s="3"/>
      <x:c r="C37" s="3"/>
      <x:c r="D37" s="3"/>
      <x:c r="E37" s="3"/>
      <x:c r="F37" s="3"/>
      <x:c r="G37" s="3"/>
      <x:c r="H37" s="3"/>
    </x:row>
    <x:row r="38" ht="23" customHeight="1">
      <x:c r="B38"/>
      <x:c r="C38"/>
      <x:c r="D38"/>
      <x:c r="E38"/>
      <x:c r="F38"/>
      <x:c r="G38"/>
      <x:c r="H38"/>
    </x:row>
    <x:row r="39" ht="23" customHeight="1">
      <x:c r="B39"/>
      <x:c r="C39"/>
      <x:c r="D39"/>
      <x:c r="E39"/>
      <x:c r="F39"/>
      <x:c r="G39"/>
      <x:c r="H39"/>
    </x:row>
    <x:row r="40" ht="34" customHeight="1">
      <x:c r="B40"/>
      <x:c r="C40"/>
      <x:c r="D40"/>
      <x:c r="E40"/>
      <x:c r="F40"/>
      <x:c r="G40"/>
      <x:c r="H40"/>
    </x:row>
    <x:row r="41" ht="23" customHeight="1">
      <x:c r="B41"/>
      <x:c r="C41"/>
      <x:c r="D41"/>
      <x:c r="E41"/>
      <x:c r="F41"/>
      <x:c r="G41"/>
      <x:c r="H41"/>
    </x:row>
    <x:row r="42" ht="23" customHeight="1">
      <x:c r="B42"/>
      <x:c r="C42"/>
      <x:c r="D42"/>
      <x:c r="E42"/>
      <x:c r="F42"/>
      <x:c r="G42"/>
      <x:c r="H42"/>
    </x:row>
    <x:row r="43" ht="23" customHeight="1">
      <x:c r="B43"/>
      <x:c r="C43"/>
      <x:c r="D43"/>
      <x:c r="E43"/>
      <x:c r="F43"/>
      <x:c r="G43"/>
      <x:c r="H43"/>
    </x:row>
    <x:row r="44" ht="23" customHeight="1">
      <x:c r="B44"/>
      <x:c r="C44"/>
      <x:c r="D44"/>
      <x:c r="E44"/>
      <x:c r="F44"/>
      <x:c r="G44"/>
      <x:c r="H44"/>
    </x:row>
    <x:row r="45" ht="23" customHeight="1">
      <x:c r="B45"/>
      <x:c r="C45"/>
      <x:c r="D45"/>
      <x:c r="E45"/>
      <x:c r="F45"/>
      <x:c r="G45"/>
      <x:c r="H45"/>
    </x:row>
    <x:row r="46" ht="23" customHeight="1">
      <x:c r="B46"/>
      <x:c r="C46"/>
      <x:c r="D46"/>
      <x:c r="E46"/>
      <x:c r="F46"/>
      <x:c r="G46"/>
      <x:c r="H46"/>
    </x:row>
    <x:row r="47" ht="23" customHeight="1">
      <x:c r="B47"/>
      <x:c r="C47"/>
      <x:c r="D47"/>
      <x:c r="E47"/>
      <x:c r="F47"/>
      <x:c r="G47"/>
      <x:c r="H47"/>
    </x:row>
    <x:row r="48" ht="23" customHeight="1">
      <x:c r="B48"/>
      <x:c r="C48"/>
      <x:c r="D48"/>
      <x:c r="E48"/>
      <x:c r="F48"/>
      <x:c r="G48"/>
      <x:c r="H48"/>
    </x:row>
    <x:row r="49" ht="23" customHeight="1">
      <x:c r="B49"/>
      <x:c r="C49"/>
      <x:c r="D49"/>
      <x:c r="E49"/>
      <x:c r="F49"/>
      <x:c r="G49"/>
      <x:c r="H49"/>
    </x:row>
    <x:row r="50" ht="23" customHeight="1">
      <x:c r="B50"/>
      <x:c r="C50"/>
      <x:c r="D50"/>
      <x:c r="E50"/>
      <x:c r="F50"/>
      <x:c r="G50"/>
      <x:c r="H50"/>
    </x:row>
    <x:row r="51" ht="23" customHeight="1">
      <x:c r="B51"/>
      <x:c r="C51"/>
      <x:c r="D51"/>
      <x:c r="E51"/>
      <x:c r="F51"/>
      <x:c r="G51"/>
      <x:c r="H51"/>
    </x:row>
    <x:row r="52" ht="23" customHeight="1">
      <x:c r="B52"/>
      <x:c r="C52"/>
      <x:c r="D52"/>
      <x:c r="E52"/>
      <x:c r="F52"/>
      <x:c r="G52"/>
      <x:c r="H52"/>
    </x:row>
    <x:row r="53" ht="23" customHeight="1">
      <x:c r="B53"/>
      <x:c r="C53"/>
      <x:c r="D53"/>
      <x:c r="E53"/>
      <x:c r="F53"/>
      <x:c r="G53"/>
      <x:c r="H53"/>
    </x:row>
    <x:row r="54" ht="23" customHeight="1">
      <x:c r="B54"/>
      <x:c r="C54"/>
      <x:c r="D54"/>
      <x:c r="E54"/>
      <x:c r="F54"/>
      <x:c r="G54"/>
      <x:c r="H54"/>
    </x:row>
    <x:row r="55" ht="23" customHeight="1">
      <x:c r="B55"/>
      <x:c r="C55"/>
      <x:c r="D55"/>
      <x:c r="E55"/>
      <x:c r="F55"/>
      <x:c r="G55"/>
      <x:c r="H55"/>
    </x:row>
    <x:row r="56" ht="23" customHeight="1">
      <x:c r="B56"/>
      <x:c r="C56"/>
      <x:c r="D56"/>
      <x:c r="E56"/>
      <x:c r="F56"/>
      <x:c r="G56"/>
      <x:c r="H56"/>
    </x:row>
    <x:row r="57" ht="23" customHeight="1">
      <x:c r="B57"/>
      <x:c r="C57"/>
      <x:c r="D57"/>
      <x:c r="E57"/>
      <x:c r="F57"/>
      <x:c r="G57"/>
      <x:c r="H57"/>
    </x:row>
    <x:row r="58" ht="23" customHeight="1">
      <x:c r="B58"/>
      <x:c r="C58"/>
      <x:c r="D58"/>
      <x:c r="E58"/>
      <x:c r="F58"/>
      <x:c r="G58"/>
      <x:c r="H58"/>
    </x:row>
    <x:row r="59" ht="23" customHeight="1">
      <x:c r="B59"/>
      <x:c r="C59"/>
      <x:c r="D59"/>
      <x:c r="E59"/>
      <x:c r="F59"/>
      <x:c r="G59"/>
      <x:c r="H59"/>
    </x:row>
    <x:row r="60" ht="23" customHeight="1">
      <x:c r="B60"/>
      <x:c r="C60"/>
      <x:c r="D60"/>
      <x:c r="E60"/>
      <x:c r="F60"/>
      <x:c r="G60"/>
      <x:c r="H60"/>
    </x:row>
    <x:row r="61" ht="23" customHeight="1">
      <x:c r="B61"/>
      <x:c r="C61"/>
      <x:c r="D61"/>
      <x:c r="E61"/>
      <x:c r="F61"/>
      <x:c r="G61"/>
      <x:c r="H61"/>
    </x:row>
    <x:row r="62" ht="23" customHeight="1">
      <x:c r="B62"/>
      <x:c r="C62"/>
      <x:c r="D62"/>
      <x:c r="E62"/>
      <x:c r="F62"/>
      <x:c r="G62"/>
      <x:c r="H62"/>
    </x:row>
    <x:row r="63" ht="23" customHeight="1">
      <x:c r="B63"/>
      <x:c r="C63"/>
      <x:c r="D63"/>
      <x:c r="E63"/>
      <x:c r="F63"/>
      <x:c r="G63"/>
      <x:c r="H63"/>
    </x:row>
    <x:row r="64" ht="23" customHeight="1">
      <x:c r="B64"/>
      <x:c r="C64"/>
      <x:c r="D64"/>
      <x:c r="E64"/>
      <x:c r="F64"/>
      <x:c r="G64"/>
      <x:c r="H64"/>
    </x:row>
    <x:row r="65" ht="23" customHeight="1">
      <x:c r="B65"/>
      <x:c r="C65"/>
      <x:c r="D65"/>
      <x:c r="E65"/>
      <x:c r="F65"/>
      <x:c r="G65"/>
      <x:c r="H65"/>
    </x:row>
    <x:row r="66" ht="23" customHeight="1">
      <x:c r="B66"/>
      <x:c r="C66"/>
      <x:c r="D66"/>
      <x:c r="E66"/>
      <x:c r="F66"/>
      <x:c r="G66"/>
      <x:c r="H66"/>
    </x:row>
    <x:row r="67" ht="23" customHeight="1">
      <x:c r="B67"/>
      <x:c r="C67"/>
      <x:c r="D67"/>
      <x:c r="E67"/>
      <x:c r="F67"/>
      <x:c r="G67"/>
      <x:c r="H67"/>
    </x:row>
    <x:row r="68" ht="23" customHeight="1">
      <x:c r="B68"/>
      <x:c r="C68"/>
      <x:c r="D68"/>
      <x:c r="E68"/>
      <x:c r="F68"/>
      <x:c r="G68"/>
      <x:c r="H68"/>
    </x:row>
    <x:row r="69" ht="23" customHeight="1">
      <x:c r="B69"/>
      <x:c r="C69"/>
      <x:c r="D69"/>
      <x:c r="E69"/>
      <x:c r="F69"/>
      <x:c r="G69"/>
      <x:c r="H69"/>
    </x:row>
    <x:row r="70" ht="23" customHeight="1">
      <x:c r="B70"/>
      <x:c r="C70"/>
      <x:c r="D70"/>
      <x:c r="E70"/>
      <x:c r="F70"/>
      <x:c r="G70"/>
      <x:c r="H70"/>
    </x:row>
    <x:row r="71" ht="23" customHeight="1">
      <x:c r="B71"/>
      <x:c r="C71"/>
      <x:c r="D71"/>
      <x:c r="E71"/>
      <x:c r="F71"/>
      <x:c r="G71"/>
      <x:c r="H71"/>
    </x:row>
    <x:row r="72" ht="23" customHeight="1">
      <x:c r="B72"/>
      <x:c r="C72"/>
      <x:c r="D72"/>
      <x:c r="E72"/>
      <x:c r="F72"/>
      <x:c r="G72"/>
      <x:c r="H72"/>
    </x:row>
    <x:row r="73" ht="23" customHeight="1">
      <x:c r="B73"/>
      <x:c r="C73"/>
      <x:c r="D73"/>
      <x:c r="E73"/>
      <x:c r="F73"/>
      <x:c r="G73"/>
      <x:c r="H73"/>
    </x:row>
    <x:row r="74" ht="23" customHeight="1">
      <x:c r="B74"/>
      <x:c r="C74"/>
      <x:c r="D74"/>
      <x:c r="E74"/>
      <x:c r="F74"/>
      <x:c r="G74"/>
      <x:c r="H74"/>
    </x:row>
    <x:row r="75" ht="23" customHeight="1">
      <x:c r="B75"/>
      <x:c r="C75"/>
      <x:c r="D75"/>
      <x:c r="E75"/>
      <x:c r="F75"/>
      <x:c r="G75"/>
      <x:c r="H75"/>
    </x:row>
    <x:row r="76" ht="23" customHeight="1">
      <x:c r="B76"/>
      <x:c r="C76"/>
      <x:c r="D76"/>
      <x:c r="E76"/>
      <x:c r="F76"/>
      <x:c r="G76"/>
      <x:c r="H76"/>
    </x:row>
    <x:row r="77" ht="23" customHeight="1">
      <x:c r="B77"/>
      <x:c r="C77"/>
      <x:c r="D77"/>
      <x:c r="E77"/>
      <x:c r="F77"/>
      <x:c r="G77"/>
      <x:c r="H77"/>
    </x:row>
    <x:row r="78" ht="23" customHeight="1">
      <x:c r="B78"/>
      <x:c r="C78"/>
      <x:c r="D78"/>
      <x:c r="E78"/>
      <x:c r="F78"/>
      <x:c r="G78"/>
      <x:c r="H78"/>
    </x:row>
    <x:row r="79" ht="23" customHeight="1">
      <x:c r="B79"/>
      <x:c r="C79"/>
      <x:c r="D79"/>
      <x:c r="E79"/>
      <x:c r="F79"/>
      <x:c r="G79"/>
      <x:c r="H79"/>
    </x:row>
    <x:row r="80" ht="23" customHeight="1">
      <x:c r="B80"/>
      <x:c r="C80"/>
      <x:c r="D80"/>
      <x:c r="E80"/>
      <x:c r="F80"/>
      <x:c r="G80"/>
      <x:c r="H80"/>
    </x:row>
    <x:row r="81" ht="23" customHeight="1">
      <x:c r="B81"/>
      <x:c r="C81"/>
      <x:c r="D81"/>
      <x:c r="E81"/>
      <x:c r="F81"/>
      <x:c r="G81"/>
      <x:c r="H81"/>
    </x:row>
    <x:row r="82" ht="23" customHeight="1">
      <x:c r="B82"/>
      <x:c r="C82"/>
      <x:c r="D82"/>
      <x:c r="E82"/>
      <x:c r="F82"/>
      <x:c r="G82"/>
      <x:c r="H82"/>
    </x:row>
    <x:row r="83" ht="23" customHeight="1">
      <x:c r="B83"/>
      <x:c r="C83"/>
      <x:c r="D83"/>
      <x:c r="E83"/>
      <x:c r="F83"/>
      <x:c r="G83"/>
      <x:c r="H83"/>
    </x:row>
    <x:row r="84" ht="23" customHeight="1">
      <x:c r="B84"/>
      <x:c r="C84"/>
      <x:c r="D84"/>
      <x:c r="E84"/>
      <x:c r="F84"/>
      <x:c r="G84"/>
      <x:c r="H84"/>
    </x:row>
    <x:row r="85" ht="23" customHeight="1">
      <x:c r="B85"/>
      <x:c r="C85"/>
      <x:c r="D85"/>
      <x:c r="E85"/>
      <x:c r="F85"/>
      <x:c r="G85"/>
      <x:c r="H85"/>
    </x:row>
    <x:row r="86" ht="23" customHeight="1">
      <x:c r="B86"/>
      <x:c r="C86"/>
      <x:c r="D86"/>
      <x:c r="E86"/>
      <x:c r="F86"/>
      <x:c r="G86"/>
      <x:c r="H86"/>
    </x:row>
    <x:row r="87" ht="23" customHeight="1">
      <x:c r="B87"/>
      <x:c r="C87"/>
      <x:c r="D87"/>
      <x:c r="E87"/>
      <x:c r="F87"/>
      <x:c r="G87"/>
      <x:c r="H87"/>
    </x:row>
    <x:row r="88" ht="23" customHeight="1">
      <x:c r="B88"/>
      <x:c r="C88"/>
      <x:c r="D88"/>
      <x:c r="E88"/>
      <x:c r="F88"/>
      <x:c r="G88"/>
      <x:c r="H88"/>
    </x:row>
    <x:row r="89" ht="23" customHeight="1">
      <x:c r="B89"/>
      <x:c r="C89"/>
      <x:c r="D89"/>
      <x:c r="E89"/>
      <x:c r="F89"/>
      <x:c r="G89"/>
      <x:c r="H89"/>
    </x:row>
    <x:row r="90" ht="23" customHeight="1">
      <x:c r="B90"/>
      <x:c r="C90"/>
      <x:c r="D90"/>
      <x:c r="E90"/>
      <x:c r="F90"/>
      <x:c r="G90"/>
      <x:c r="H90"/>
    </x:row>
    <x:row r="91" ht="23" customHeight="1">
      <x:c r="B91"/>
      <x:c r="C91"/>
      <x:c r="D91"/>
      <x:c r="E91"/>
      <x:c r="F91"/>
      <x:c r="G91"/>
      <x:c r="H91"/>
    </x:row>
    <x:row r="92" ht="23" customHeight="1">
      <x:c r="B92"/>
      <x:c r="C92"/>
      <x:c r="D92"/>
      <x:c r="E92"/>
      <x:c r="F92"/>
      <x:c r="G92"/>
      <x:c r="H92"/>
    </x:row>
    <x:row r="93" ht="23" customHeight="1">
      <x:c r="B93"/>
      <x:c r="C93"/>
      <x:c r="D93"/>
      <x:c r="E93"/>
      <x:c r="F93"/>
      <x:c r="G93"/>
      <x:c r="H93"/>
    </x:row>
    <x:row r="94" ht="23" customHeight="1">
      <x:c r="B94"/>
      <x:c r="C94"/>
      <x:c r="D94"/>
      <x:c r="E94"/>
      <x:c r="F94"/>
      <x:c r="G94"/>
      <x:c r="H94"/>
    </x:row>
    <x:row r="95" ht="23" customHeight="1">
      <x:c r="B95"/>
      <x:c r="C95"/>
      <x:c r="D95"/>
      <x:c r="E95"/>
      <x:c r="F95"/>
      <x:c r="G95"/>
      <x:c r="H95"/>
    </x:row>
    <x:row r="96" ht="23" customHeight="1">
      <x:c r="B96"/>
      <x:c r="C96"/>
      <x:c r="D96"/>
      <x:c r="E96"/>
      <x:c r="F96"/>
      <x:c r="G96"/>
      <x:c r="H96"/>
    </x:row>
    <x:row r="97" ht="23" customHeight="1">
      <x:c r="B97"/>
      <x:c r="C97"/>
      <x:c r="D97"/>
      <x:c r="E97"/>
      <x:c r="F97"/>
      <x:c r="G97"/>
      <x:c r="H97"/>
    </x:row>
    <x:row r="98" ht="23" customHeight="1">
      <x:c r="B98"/>
      <x:c r="C98"/>
      <x:c r="D98"/>
      <x:c r="E98"/>
      <x:c r="F98"/>
      <x:c r="G98"/>
      <x:c r="H98"/>
    </x:row>
    <x:row r="99" ht="23" customHeight="1">
      <x:c r="B99"/>
      <x:c r="C99"/>
      <x:c r="D99"/>
      <x:c r="E99"/>
      <x:c r="F99"/>
      <x:c r="G99"/>
      <x:c r="H99"/>
    </x:row>
    <x:row r="100" ht="23" customHeight="1">
      <x:c r="B100"/>
      <x:c r="C100"/>
      <x:c r="D100"/>
      <x:c r="E100"/>
      <x:c r="F100"/>
      <x:c r="G100"/>
      <x:c r="H100"/>
    </x:row>
    <x:row r="101" ht="23" customHeight="1">
      <x:c r="B101"/>
      <x:c r="C101"/>
      <x:c r="D101"/>
      <x:c r="E101"/>
      <x:c r="F101"/>
      <x:c r="G101"/>
      <x:c r="H101"/>
    </x:row>
    <x:row r="102" ht="23" customHeight="1">
      <x:c r="B102"/>
      <x:c r="C102"/>
      <x:c r="D102"/>
      <x:c r="E102"/>
      <x:c r="F102"/>
      <x:c r="G102"/>
      <x:c r="H102"/>
    </x:row>
    <x:row r="103" ht="23" customHeight="1">
      <x:c r="B103"/>
      <x:c r="C103"/>
      <x:c r="D103"/>
      <x:c r="E103"/>
      <x:c r="F103"/>
      <x:c r="G103"/>
      <x:c r="H103"/>
    </x:row>
    <x:row r="104" ht="23" customHeight="1">
      <x:c r="B104"/>
      <x:c r="C104"/>
      <x:c r="D104"/>
      <x:c r="E104"/>
      <x:c r="F104"/>
      <x:c r="G104"/>
      <x:c r="H104"/>
    </x:row>
    <x:row r="105" ht="23" customHeight="1">
      <x:c r="B105"/>
      <x:c r="C105"/>
      <x:c r="D105"/>
      <x:c r="E105"/>
      <x:c r="F105"/>
      <x:c r="G105"/>
      <x:c r="H105"/>
    </x:row>
    <x:row r="106" ht="23" customHeight="1">
      <x:c r="B106"/>
      <x:c r="C106"/>
      <x:c r="D106"/>
      <x:c r="E106"/>
      <x:c r="F106"/>
      <x:c r="G106"/>
      <x:c r="H106"/>
    </x:row>
    <x:row r="107" ht="23" customHeight="1">
      <x:c r="B107"/>
      <x:c r="C107"/>
      <x:c r="D107"/>
      <x:c r="E107"/>
      <x:c r="F107"/>
      <x:c r="G107"/>
      <x:c r="H107"/>
    </x:row>
    <x:row r="108" ht="23" customHeight="1">
      <x:c r="B108"/>
      <x:c r="C108"/>
      <x:c r="D108"/>
      <x:c r="E108"/>
      <x:c r="F108"/>
      <x:c r="G108"/>
      <x:c r="H108"/>
    </x:row>
    <x:row r="109" ht="23" customHeight="1">
      <x:c r="B109"/>
      <x:c r="C109"/>
      <x:c r="D109"/>
      <x:c r="E109"/>
      <x:c r="F109"/>
      <x:c r="G109"/>
      <x:c r="H109"/>
    </x:row>
    <x:row r="110" ht="23" customHeight="1">
      <x:c r="B110"/>
      <x:c r="C110"/>
      <x:c r="D110"/>
      <x:c r="E110"/>
      <x:c r="F110"/>
      <x:c r="G110"/>
      <x:c r="H110"/>
    </x:row>
    <x:row r="111" ht="23" customHeight="1">
      <x:c r="B111"/>
      <x:c r="C111"/>
      <x:c r="D111"/>
      <x:c r="E111"/>
      <x:c r="F111"/>
      <x:c r="G111"/>
      <x:c r="H111"/>
    </x:row>
    <x:row r="112" ht="23" customHeight="1">
      <x:c r="B112"/>
      <x:c r="C112"/>
      <x:c r="D112"/>
      <x:c r="E112"/>
      <x:c r="F112"/>
      <x:c r="G112"/>
      <x:c r="H112"/>
    </x:row>
    <x:row r="113" ht="23" customHeight="1">
      <x:c r="B113"/>
      <x:c r="C113"/>
      <x:c r="D113"/>
      <x:c r="E113"/>
      <x:c r="F113"/>
      <x:c r="G113"/>
      <x:c r="H113"/>
    </x:row>
    <x:row r="114" ht="23" customHeight="1">
      <x:c r="B114"/>
      <x:c r="C114"/>
      <x:c r="D114"/>
      <x:c r="E114"/>
      <x:c r="F114"/>
      <x:c r="G114"/>
      <x:c r="H114"/>
    </x:row>
    <x:row r="115" ht="23" customHeight="1">
      <x:c r="B115"/>
      <x:c r="C115"/>
      <x:c r="D115"/>
      <x:c r="E115"/>
      <x:c r="F115"/>
      <x:c r="G115"/>
      <x:c r="H115"/>
    </x:row>
    <x:row r="116" ht="23" customHeight="1">
      <x:c r="B116"/>
      <x:c r="C116"/>
      <x:c r="D116"/>
      <x:c r="E116"/>
      <x:c r="F116"/>
      <x:c r="G116"/>
      <x:c r="H116"/>
    </x:row>
    <x:row r="117" ht="23" customHeight="1">
      <x:c r="B117"/>
      <x:c r="C117"/>
      <x:c r="D117"/>
      <x:c r="E117"/>
      <x:c r="F117"/>
      <x:c r="G117"/>
      <x:c r="H117"/>
    </x:row>
    <x:row r="118" ht="23" customHeight="1">
      <x:c r="B118"/>
      <x:c r="C118"/>
      <x:c r="D118"/>
      <x:c r="E118"/>
      <x:c r="F118"/>
      <x:c r="G118"/>
      <x:c r="H118"/>
    </x:row>
    <x:row r="119" ht="23" customHeight="1">
      <x:c r="B119"/>
      <x:c r="C119"/>
      <x:c r="D119"/>
      <x:c r="E119"/>
      <x:c r="F119"/>
      <x:c r="G119"/>
      <x:c r="H119"/>
    </x:row>
    <x:row r="120" ht="23" customHeight="1">
      <x:c r="B120"/>
      <x:c r="C120"/>
      <x:c r="D120"/>
      <x:c r="E120"/>
      <x:c r="F120"/>
      <x:c r="G120"/>
      <x:c r="H120"/>
    </x:row>
    <x:row r="121" ht="23" customHeight="1">
      <x:c r="B121"/>
      <x:c r="C121"/>
      <x:c r="D121"/>
      <x:c r="E121"/>
      <x:c r="F121"/>
      <x:c r="G121"/>
      <x:c r="H121"/>
    </x:row>
    <x:row r="122" ht="23" customHeight="1">
      <x:c r="B122"/>
      <x:c r="C122"/>
      <x:c r="D122"/>
      <x:c r="E122"/>
      <x:c r="F122"/>
      <x:c r="G122"/>
      <x:c r="H122"/>
    </x:row>
    <x:row r="123" ht="23" customHeight="1">
      <x:c r="B123"/>
      <x:c r="C123"/>
      <x:c r="D123"/>
      <x:c r="E123"/>
      <x:c r="F123"/>
      <x:c r="G123"/>
      <x:c r="H123"/>
    </x:row>
    <x:row r="124" ht="23" customHeight="1">
      <x:c r="B124"/>
      <x:c r="C124"/>
      <x:c r="D124"/>
      <x:c r="E124"/>
      <x:c r="F124"/>
      <x:c r="G124"/>
      <x:c r="H124"/>
    </x:row>
    <x:row r="125" ht="23" customHeight="1">
      <x:c r="B125"/>
      <x:c r="C125"/>
      <x:c r="D125"/>
      <x:c r="E125"/>
      <x:c r="F125"/>
      <x:c r="G125"/>
      <x:c r="H125"/>
    </x:row>
    <x:row r="126" ht="23" customHeight="1">
      <x:c r="B126"/>
      <x:c r="C126"/>
      <x:c r="D126"/>
      <x:c r="E126"/>
      <x:c r="F126"/>
      <x:c r="G126"/>
      <x:c r="H126"/>
    </x:row>
    <x:row r="127" ht="23" customHeight="1">
      <x:c r="B127"/>
      <x:c r="C127"/>
      <x:c r="D127"/>
      <x:c r="E127"/>
      <x:c r="F127"/>
      <x:c r="G127"/>
      <x:c r="H127"/>
    </x:row>
    <x:row r="128" ht="23" customHeight="1">
      <x:c r="B128"/>
      <x:c r="C128"/>
      <x:c r="D128"/>
      <x:c r="E128"/>
      <x:c r="F128"/>
      <x:c r="G128"/>
      <x:c r="H128"/>
    </x:row>
    <x:row r="129" ht="23" customHeight="1">
      <x:c r="B129"/>
      <x:c r="C129"/>
      <x:c r="D129"/>
      <x:c r="E129"/>
      <x:c r="F129"/>
      <x:c r="G129"/>
      <x:c r="H129"/>
    </x:row>
    <x:row r="130" ht="23" customHeight="1">
      <x:c r="B130"/>
      <x:c r="C130"/>
      <x:c r="D130"/>
      <x:c r="E130"/>
      <x:c r="F130"/>
      <x:c r="G130"/>
      <x:c r="H130"/>
    </x:row>
    <x:row r="131" ht="23" customHeight="1">
      <x:c r="B131"/>
      <x:c r="C131"/>
      <x:c r="D131"/>
      <x:c r="E131"/>
      <x:c r="F131"/>
      <x:c r="G131"/>
      <x:c r="H131"/>
    </x:row>
    <x:row r="132" ht="23" customHeight="1">
      <x:c r="B132"/>
      <x:c r="C132"/>
      <x:c r="D132"/>
      <x:c r="E132"/>
      <x:c r="F132"/>
      <x:c r="G132"/>
      <x:c r="H132"/>
    </x:row>
    <x:row r="133" ht="23" customHeight="1">
      <x:c r="B133"/>
      <x:c r="C133"/>
      <x:c r="D133"/>
      <x:c r="E133"/>
      <x:c r="F133"/>
      <x:c r="G133"/>
      <x:c r="H133"/>
    </x:row>
    <x:row r="134" ht="23" customHeight="1">
      <x:c r="B134"/>
      <x:c r="C134"/>
      <x:c r="D134"/>
      <x:c r="E134"/>
      <x:c r="F134"/>
      <x:c r="G134"/>
      <x:c r="H134"/>
    </x:row>
    <x:row r="135" ht="23" customHeight="1">
      <x:c r="B135"/>
      <x:c r="C135"/>
      <x:c r="D135"/>
      <x:c r="E135"/>
      <x:c r="F135"/>
      <x:c r="G135"/>
      <x:c r="H135"/>
    </x:row>
    <x:row r="136" ht="23" customHeight="1">
      <x:c r="B136"/>
      <x:c r="C136"/>
      <x:c r="D136"/>
      <x:c r="E136"/>
      <x:c r="F136"/>
      <x:c r="G136"/>
      <x:c r="H136"/>
    </x:row>
  </x:sheetData>
  <x:conditionalFormatting sqref="E13:E2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F29:F36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F41:F136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F8:F8">
    <x:cfRule type="cellIs" dxfId="6" priority="7" operator="greaterThan">
      <x:formula>0</x:formula>
    </x:cfRule>
    <x:cfRule type="cellIs" dxfId="7" priority="8" operator="lessThan">
      <x:formula>0</x:formula>
    </x:cfRule>
  </x:conditionalFormatting>
  <x:conditionalFormatting sqref="D41:E136">
    <x:cfRule type="cellIs" dxfId="8" priority="9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1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2" ht="30" customHeight="1">
      <x:c r="B2" s="32" t="str">
        <x:v>Monthly inputs</x:v>
      </x:c>
      <x:c r="C2" s="33"/>
      <x:c r="D2" s="33"/>
      <x:c r="E2" s="33"/>
      <x:c r="F2" s="33"/>
      <x:c r="G2" s="33"/>
      <x:c r="H2" s="33"/>
    </x:row>
    <x:row r="3" ht="23" customHeight="1">
      <x:c r="B3" s="34" t="str">
        <x:v>Edit yellow cells. Rename channels once on Budget, cells B29:B36.</x:v>
      </x:c>
      <x:c r="C3" s="30"/>
      <x:c r="D3" s="30"/>
      <x:c r="E3" s="30"/>
      <x:c r="F3" s="30"/>
      <x:c r="G3" s="30"/>
      <x:c r="H3" s="30"/>
    </x:row>
    <x:row r="4" ht="23" customHeight="1">
      <x:c r="B4" s="34" t="str">
        <x:v>Blank actual = pending. Enter 0 for confirmed no spend. Positive variance = overspend.</x:v>
      </x:c>
      <x:c r="C4" s="30"/>
      <x:c r="D4" s="30"/>
      <x:c r="E4" s="30"/>
      <x:c r="F4" s="30"/>
      <x:c r="G4" s="30"/>
      <x:c r="H4" s="30"/>
    </x:row>
    <x:row r="5" ht="23" customHeight="1">
      <x:c r="B5" s="20" t="str">
        <x:v>Month</x:v>
      </x:c>
      <x:c r="C5" s="20" t="str">
        <x:v>Channel</x:v>
      </x:c>
      <x:c r="D5" s="20" t="str">
        <x:v>Plan</x:v>
      </x:c>
      <x:c r="E5" s="20" t="str">
        <x:v>Actual</x:v>
      </x:c>
      <x:c r="F5" s="20" t="str">
        <x:v>Actual minus plan</x:v>
      </x:c>
      <x:c r="G5" s="20" t="str">
        <x:v>Variance %</x:v>
      </x:c>
      <x:c r="H5" s="20" t="str">
        <x:v>Notes</x:v>
      </x:c>
    </x:row>
    <x:row r="6" ht="23" customHeight="1">
      <x:c r="B6" s="35" t="str">
        <x:f>'Budget'!$B$13</x:f>
        <x:v>Jan</x:v>
      </x:c>
      <x:c r="C6" s="35" t="str">
        <x:f>'Budget'!$B$29</x:f>
        <x:v>Paid search</x:v>
      </x:c>
      <x:c r="D6" s="21"/>
      <x:c r="E6" s="21"/>
      <x:c r="F6" s="25" t="str">
        <x:f>IF(COUNT(D6:E6)=2,E6-D6,"")</x:f>
      </x:c>
      <x:c r="G6" s="26" t="str">
        <x:f>IF(COUNT(D6:E6)=2,IF(D6=0,"n.a.",F6/D6),"")</x:f>
      </x:c>
      <x:c r="H6" s="9"/>
    </x:row>
    <x:row r="7" ht="23" customHeight="1">
      <x:c r="B7" s="35" t="str">
        <x:f>'Budget'!$B$13</x:f>
        <x:v>Jan</x:v>
      </x:c>
      <x:c r="C7" s="35" t="str">
        <x:f>'Budget'!$B$30</x:f>
        <x:v>Paid social</x:v>
      </x:c>
      <x:c r="D7" s="21"/>
      <x:c r="E7" s="21"/>
      <x:c r="F7" s="25" t="str">
        <x:f>IF(COUNT(D7:E7)=2,E7-D7,"")</x:f>
      </x:c>
      <x:c r="G7" s="26" t="str">
        <x:f>IF(COUNT(D7:E7)=2,IF(D7=0,"n.a.",F7/D7),"")</x:f>
      </x:c>
      <x:c r="H7" s="9"/>
    </x:row>
    <x:row r="8" ht="23" customHeight="1">
      <x:c r="B8" s="35" t="str">
        <x:f>'Budget'!$B$13</x:f>
        <x:v>Jan</x:v>
      </x:c>
      <x:c r="C8" s="35" t="str">
        <x:f>'Budget'!$B$31</x:f>
        <x:v>Content and SEO</x:v>
      </x:c>
      <x:c r="D8" s="21"/>
      <x:c r="E8" s="21"/>
      <x:c r="F8" s="25" t="str">
        <x:f>IF(COUNT(D8:E8)=2,E8-D8,"")</x:f>
      </x:c>
      <x:c r="G8" s="26" t="str">
        <x:f>IF(COUNT(D8:E8)=2,IF(D8=0,"n.a.",F8/D8),"")</x:f>
      </x:c>
      <x:c r="H8" s="9"/>
    </x:row>
    <x:row r="9" ht="23" customHeight="1">
      <x:c r="B9" s="35" t="str">
        <x:f>'Budget'!$B$13</x:f>
        <x:v>Jan</x:v>
      </x:c>
      <x:c r="C9" s="35" t="str">
        <x:f>'Budget'!$B$32</x:f>
        <x:v>Email</x:v>
      </x:c>
      <x:c r="D9" s="21"/>
      <x:c r="E9" s="21"/>
      <x:c r="F9" s="25" t="str">
        <x:f>IF(COUNT(D9:E9)=2,E9-D9,"")</x:f>
      </x:c>
      <x:c r="G9" s="26" t="str">
        <x:f>IF(COUNT(D9:E9)=2,IF(D9=0,"n.a.",F9/D9),"")</x:f>
      </x:c>
      <x:c r="H9" s="9"/>
    </x:row>
    <x:row r="10" ht="23" customHeight="1">
      <x:c r="B10" s="35" t="str">
        <x:f>'Budget'!$B$13</x:f>
        <x:v>Jan</x:v>
      </x:c>
      <x:c r="C10" s="35" t="str">
        <x:f>'Budget'!$B$33</x:f>
        <x:v>Events</x:v>
      </x:c>
      <x:c r="D10" s="21"/>
      <x:c r="E10" s="21"/>
      <x:c r="F10" s="25" t="str">
        <x:f>IF(COUNT(D10:E10)=2,E10-D10,"")</x:f>
      </x:c>
      <x:c r="G10" s="26" t="str">
        <x:f>IF(COUNT(D10:E10)=2,IF(D10=0,"n.a.",F10/D10),"")</x:f>
      </x:c>
      <x:c r="H10" s="9"/>
    </x:row>
    <x:row r="11" ht="23" customHeight="1">
      <x:c r="B11" s="35" t="str">
        <x:f>'Budget'!$B$13</x:f>
        <x:v>Jan</x:v>
      </x:c>
      <x:c r="C11" s="35" t="str">
        <x:f>'Budget'!$B$34</x:f>
        <x:v>Tools and software</x:v>
      </x:c>
      <x:c r="D11" s="21"/>
      <x:c r="E11" s="21"/>
      <x:c r="F11" s="25" t="str">
        <x:f>IF(COUNT(D11:E11)=2,E11-D11,"")</x:f>
      </x:c>
      <x:c r="G11" s="26" t="str">
        <x:f>IF(COUNT(D11:E11)=2,IF(D11=0,"n.a.",F11/D11),"")</x:f>
      </x:c>
      <x:c r="H11" s="9"/>
    </x:row>
    <x:row r="12" ht="23" customHeight="1">
      <x:c r="B12" s="35" t="str">
        <x:f>'Budget'!$B$13</x:f>
        <x:v>Jan</x:v>
      </x:c>
      <x:c r="C12" s="35" t="str">
        <x:f>'Budget'!$B$35</x:f>
        <x:v>Agency and freelance</x:v>
      </x:c>
      <x:c r="D12" s="21"/>
      <x:c r="E12" s="21"/>
      <x:c r="F12" s="25" t="str">
        <x:f>IF(COUNT(D12:E12)=2,E12-D12,"")</x:f>
      </x:c>
      <x:c r="G12" s="26" t="str">
        <x:f>IF(COUNT(D12:E12)=2,IF(D12=0,"n.a.",F12/D12),"")</x:f>
      </x:c>
      <x:c r="H12" s="9"/>
    </x:row>
    <x:row r="13" ht="23" customHeight="1">
      <x:c r="B13" s="35" t="str">
        <x:f>'Budget'!$B$13</x:f>
        <x:v>Jan</x:v>
      </x:c>
      <x:c r="C13" s="35" t="str">
        <x:f>'Budget'!$B$36</x:f>
        <x:v>Other</x:v>
      </x:c>
      <x:c r="D13" s="21"/>
      <x:c r="E13" s="21"/>
      <x:c r="F13" s="25" t="str">
        <x:f>IF(COUNT(D13:E13)=2,E13-D13,"")</x:f>
      </x:c>
      <x:c r="G13" s="26" t="str">
        <x:f>IF(COUNT(D13:E13)=2,IF(D13=0,"n.a.",F13/D13),"")</x:f>
      </x:c>
      <x:c r="H13" s="9"/>
    </x:row>
    <x:row r="14" ht="23" customHeight="1">
      <x:c r="B14" s="35" t="str">
        <x:f>'Budget'!$B$14</x:f>
        <x:v>Feb</x:v>
      </x:c>
      <x:c r="C14" s="35" t="str">
        <x:f>'Budget'!$B$29</x:f>
        <x:v>Paid search</x:v>
      </x:c>
      <x:c r="D14" s="21"/>
      <x:c r="E14" s="21"/>
      <x:c r="F14" s="25" t="str">
        <x:f>IF(COUNT(D14:E14)=2,E14-D14,"")</x:f>
      </x:c>
      <x:c r="G14" s="26" t="str">
        <x:f>IF(COUNT(D14:E14)=2,IF(D14=0,"n.a.",F14/D14),"")</x:f>
      </x:c>
      <x:c r="H14" s="9"/>
    </x:row>
    <x:row r="15" ht="23" customHeight="1">
      <x:c r="B15" s="35" t="str">
        <x:f>'Budget'!$B$14</x:f>
        <x:v>Feb</x:v>
      </x:c>
      <x:c r="C15" s="35" t="str">
        <x:f>'Budget'!$B$30</x:f>
        <x:v>Paid social</x:v>
      </x:c>
      <x:c r="D15" s="21"/>
      <x:c r="E15" s="21"/>
      <x:c r="F15" s="25" t="str">
        <x:f>IF(COUNT(D15:E15)=2,E15-D15,"")</x:f>
      </x:c>
      <x:c r="G15" s="26" t="str">
        <x:f>IF(COUNT(D15:E15)=2,IF(D15=0,"n.a.",F15/D15),"")</x:f>
      </x:c>
      <x:c r="H15" s="9"/>
    </x:row>
    <x:row r="16" ht="23" customHeight="1">
      <x:c r="B16" s="35" t="str">
        <x:f>'Budget'!$B$14</x:f>
        <x:v>Feb</x:v>
      </x:c>
      <x:c r="C16" s="35" t="str">
        <x:f>'Budget'!$B$31</x:f>
        <x:v>Content and SEO</x:v>
      </x:c>
      <x:c r="D16" s="21"/>
      <x:c r="E16" s="21"/>
      <x:c r="F16" s="25" t="str">
        <x:f>IF(COUNT(D16:E16)=2,E16-D16,"")</x:f>
      </x:c>
      <x:c r="G16" s="26" t="str">
        <x:f>IF(COUNT(D16:E16)=2,IF(D16=0,"n.a.",F16/D16),"")</x:f>
      </x:c>
      <x:c r="H16" s="9"/>
    </x:row>
    <x:row r="17" ht="23" customHeight="1">
      <x:c r="B17" s="35" t="str">
        <x:f>'Budget'!$B$14</x:f>
        <x:v>Feb</x:v>
      </x:c>
      <x:c r="C17" s="35" t="str">
        <x:f>'Budget'!$B$32</x:f>
        <x:v>Email</x:v>
      </x:c>
      <x:c r="D17" s="21"/>
      <x:c r="E17" s="21"/>
      <x:c r="F17" s="25" t="str">
        <x:f>IF(COUNT(D17:E17)=2,E17-D17,"")</x:f>
      </x:c>
      <x:c r="G17" s="26" t="str">
        <x:f>IF(COUNT(D17:E17)=2,IF(D17=0,"n.a.",F17/D17),"")</x:f>
      </x:c>
      <x:c r="H17" s="9"/>
    </x:row>
    <x:row r="18" ht="23" customHeight="1">
      <x:c r="B18" s="35" t="str">
        <x:f>'Budget'!$B$14</x:f>
        <x:v>Feb</x:v>
      </x:c>
      <x:c r="C18" s="35" t="str">
        <x:f>'Budget'!$B$33</x:f>
        <x:v>Events</x:v>
      </x:c>
      <x:c r="D18" s="21"/>
      <x:c r="E18" s="21"/>
      <x:c r="F18" s="25" t="str">
        <x:f>IF(COUNT(D18:E18)=2,E18-D18,"")</x:f>
      </x:c>
      <x:c r="G18" s="26" t="str">
        <x:f>IF(COUNT(D18:E18)=2,IF(D18=0,"n.a.",F18/D18),"")</x:f>
      </x:c>
      <x:c r="H18" s="9"/>
    </x:row>
    <x:row r="19" ht="23" customHeight="1">
      <x:c r="B19" s="35" t="str">
        <x:f>'Budget'!$B$14</x:f>
        <x:v>Feb</x:v>
      </x:c>
      <x:c r="C19" s="35" t="str">
        <x:f>'Budget'!$B$34</x:f>
        <x:v>Tools and software</x:v>
      </x:c>
      <x:c r="D19" s="21"/>
      <x:c r="E19" s="21"/>
      <x:c r="F19" s="25" t="str">
        <x:f>IF(COUNT(D19:E19)=2,E19-D19,"")</x:f>
      </x:c>
      <x:c r="G19" s="26" t="str">
        <x:f>IF(COUNT(D19:E19)=2,IF(D19=0,"n.a.",F19/D19),"")</x:f>
      </x:c>
      <x:c r="H19" s="9"/>
    </x:row>
    <x:row r="20" ht="23" customHeight="1">
      <x:c r="B20" s="35" t="str">
        <x:f>'Budget'!$B$14</x:f>
        <x:v>Feb</x:v>
      </x:c>
      <x:c r="C20" s="35" t="str">
        <x:f>'Budget'!$B$35</x:f>
        <x:v>Agency and freelance</x:v>
      </x:c>
      <x:c r="D20" s="21"/>
      <x:c r="E20" s="21"/>
      <x:c r="F20" s="25" t="str">
        <x:f>IF(COUNT(D20:E20)=2,E20-D20,"")</x:f>
      </x:c>
      <x:c r="G20" s="26" t="str">
        <x:f>IF(COUNT(D20:E20)=2,IF(D20=0,"n.a.",F20/D20),"")</x:f>
      </x:c>
      <x:c r="H20" s="9"/>
    </x:row>
    <x:row r="21" ht="23" customHeight="1">
      <x:c r="B21" s="35" t="str">
        <x:f>'Budget'!$B$14</x:f>
        <x:v>Feb</x:v>
      </x:c>
      <x:c r="C21" s="35" t="str">
        <x:f>'Budget'!$B$36</x:f>
        <x:v>Other</x:v>
      </x:c>
      <x:c r="D21" s="21"/>
      <x:c r="E21" s="21"/>
      <x:c r="F21" s="25" t="str">
        <x:f>IF(COUNT(D21:E21)=2,E21-D21,"")</x:f>
      </x:c>
      <x:c r="G21" s="26" t="str">
        <x:f>IF(COUNT(D21:E21)=2,IF(D21=0,"n.a.",F21/D21),"")</x:f>
      </x:c>
      <x:c r="H21" s="9"/>
    </x:row>
    <x:row r="22" ht="23" customHeight="1">
      <x:c r="B22" s="35" t="str">
        <x:f>'Budget'!$B$15</x:f>
        <x:v>Mar</x:v>
      </x:c>
      <x:c r="C22" s="35" t="str">
        <x:f>'Budget'!$B$29</x:f>
        <x:v>Paid search</x:v>
      </x:c>
      <x:c r="D22" s="21"/>
      <x:c r="E22" s="21"/>
      <x:c r="F22" s="25" t="str">
        <x:f>IF(COUNT(D22:E22)=2,E22-D22,"")</x:f>
      </x:c>
      <x:c r="G22" s="26" t="str">
        <x:f>IF(COUNT(D22:E22)=2,IF(D22=0,"n.a.",F22/D22),"")</x:f>
      </x:c>
      <x:c r="H22" s="9"/>
    </x:row>
    <x:row r="23" ht="23" customHeight="1">
      <x:c r="B23" s="35" t="str">
        <x:f>'Budget'!$B$15</x:f>
        <x:v>Mar</x:v>
      </x:c>
      <x:c r="C23" s="35" t="str">
        <x:f>'Budget'!$B$30</x:f>
        <x:v>Paid social</x:v>
      </x:c>
      <x:c r="D23" s="21"/>
      <x:c r="E23" s="21"/>
      <x:c r="F23" s="25" t="str">
        <x:f>IF(COUNT(D23:E23)=2,E23-D23,"")</x:f>
      </x:c>
      <x:c r="G23" s="26" t="str">
        <x:f>IF(COUNT(D23:E23)=2,IF(D23=0,"n.a.",F23/D23),"")</x:f>
      </x:c>
      <x:c r="H23" s="9"/>
    </x:row>
    <x:row r="24" ht="23" customHeight="1">
      <x:c r="B24" s="35" t="str">
        <x:f>'Budget'!$B$15</x:f>
        <x:v>Mar</x:v>
      </x:c>
      <x:c r="C24" s="35" t="str">
        <x:f>'Budget'!$B$31</x:f>
        <x:v>Content and SEO</x:v>
      </x:c>
      <x:c r="D24" s="21"/>
      <x:c r="E24" s="21"/>
      <x:c r="F24" s="25" t="str">
        <x:f>IF(COUNT(D24:E24)=2,E24-D24,"")</x:f>
      </x:c>
      <x:c r="G24" s="26" t="str">
        <x:f>IF(COUNT(D24:E24)=2,IF(D24=0,"n.a.",F24/D24),"")</x:f>
      </x:c>
      <x:c r="H24" s="9"/>
    </x:row>
    <x:row r="25" ht="23" customHeight="1">
      <x:c r="B25" s="35" t="str">
        <x:f>'Budget'!$B$15</x:f>
        <x:v>Mar</x:v>
      </x:c>
      <x:c r="C25" s="35" t="str">
        <x:f>'Budget'!$B$32</x:f>
        <x:v>Email</x:v>
      </x:c>
      <x:c r="D25" s="21"/>
      <x:c r="E25" s="21"/>
      <x:c r="F25" s="25" t="str">
        <x:f>IF(COUNT(D25:E25)=2,E25-D25,"")</x:f>
      </x:c>
      <x:c r="G25" s="26" t="str">
        <x:f>IF(COUNT(D25:E25)=2,IF(D25=0,"n.a.",F25/D25),"")</x:f>
      </x:c>
      <x:c r="H25" s="9"/>
    </x:row>
    <x:row r="26" ht="23" customHeight="1">
      <x:c r="B26" s="35" t="str">
        <x:f>'Budget'!$B$15</x:f>
        <x:v>Mar</x:v>
      </x:c>
      <x:c r="C26" s="35" t="str">
        <x:f>'Budget'!$B$33</x:f>
        <x:v>Events</x:v>
      </x:c>
      <x:c r="D26" s="21"/>
      <x:c r="E26" s="21"/>
      <x:c r="F26" s="25" t="str">
        <x:f>IF(COUNT(D26:E26)=2,E26-D26,"")</x:f>
      </x:c>
      <x:c r="G26" s="26" t="str">
        <x:f>IF(COUNT(D26:E26)=2,IF(D26=0,"n.a.",F26/D26),"")</x:f>
      </x:c>
      <x:c r="H26" s="9"/>
    </x:row>
    <x:row r="27" ht="23" customHeight="1">
      <x:c r="B27" s="35" t="str">
        <x:f>'Budget'!$B$15</x:f>
        <x:v>Mar</x:v>
      </x:c>
      <x:c r="C27" s="35" t="str">
        <x:f>'Budget'!$B$34</x:f>
        <x:v>Tools and software</x:v>
      </x:c>
      <x:c r="D27" s="21"/>
      <x:c r="E27" s="21"/>
      <x:c r="F27" s="25" t="str">
        <x:f>IF(COUNT(D27:E27)=2,E27-D27,"")</x:f>
      </x:c>
      <x:c r="G27" s="26" t="str">
        <x:f>IF(COUNT(D27:E27)=2,IF(D27=0,"n.a.",F27/D27),"")</x:f>
      </x:c>
      <x:c r="H27" s="9"/>
    </x:row>
    <x:row r="28" ht="23" customHeight="1">
      <x:c r="B28" s="35" t="str">
        <x:f>'Budget'!$B$15</x:f>
        <x:v>Mar</x:v>
      </x:c>
      <x:c r="C28" s="35" t="str">
        <x:f>'Budget'!$B$35</x:f>
        <x:v>Agency and freelance</x:v>
      </x:c>
      <x:c r="D28" s="21"/>
      <x:c r="E28" s="21"/>
      <x:c r="F28" s="25" t="str">
        <x:f>IF(COUNT(D28:E28)=2,E28-D28,"")</x:f>
      </x:c>
      <x:c r="G28" s="26" t="str">
        <x:f>IF(COUNT(D28:E28)=2,IF(D28=0,"n.a.",F28/D28),"")</x:f>
      </x:c>
      <x:c r="H28" s="9"/>
    </x:row>
    <x:row r="29" ht="23" customHeight="1">
      <x:c r="B29" s="35" t="str">
        <x:f>'Budget'!$B$15</x:f>
        <x:v>Mar</x:v>
      </x:c>
      <x:c r="C29" s="35" t="str">
        <x:f>'Budget'!$B$36</x:f>
        <x:v>Other</x:v>
      </x:c>
      <x:c r="D29" s="21"/>
      <x:c r="E29" s="21"/>
      <x:c r="F29" s="25" t="str">
        <x:f>IF(COUNT(D29:E29)=2,E29-D29,"")</x:f>
      </x:c>
      <x:c r="G29" s="26" t="str">
        <x:f>IF(COUNT(D29:E29)=2,IF(D29=0,"n.a.",F29/D29),"")</x:f>
      </x:c>
      <x:c r="H29" s="9"/>
    </x:row>
    <x:row r="30" ht="23" customHeight="1">
      <x:c r="B30" s="35" t="str">
        <x:f>'Budget'!$B$16</x:f>
        <x:v>Apr</x:v>
      </x:c>
      <x:c r="C30" s="35" t="str">
        <x:f>'Budget'!$B$29</x:f>
        <x:v>Paid search</x:v>
      </x:c>
      <x:c r="D30" s="21"/>
      <x:c r="E30" s="21"/>
      <x:c r="F30" s="25" t="str">
        <x:f>IF(COUNT(D30:E30)=2,E30-D30,"")</x:f>
      </x:c>
      <x:c r="G30" s="26" t="str">
        <x:f>IF(COUNT(D30:E30)=2,IF(D30=0,"n.a.",F30/D30),"")</x:f>
      </x:c>
      <x:c r="H30" s="9"/>
    </x:row>
    <x:row r="31" ht="23" customHeight="1">
      <x:c r="B31" s="35" t="str">
        <x:f>'Budget'!$B$16</x:f>
        <x:v>Apr</x:v>
      </x:c>
      <x:c r="C31" s="35" t="str">
        <x:f>'Budget'!$B$30</x:f>
        <x:v>Paid social</x:v>
      </x:c>
      <x:c r="D31" s="21"/>
      <x:c r="E31" s="21"/>
      <x:c r="F31" s="25" t="str">
        <x:f>IF(COUNT(D31:E31)=2,E31-D31,"")</x:f>
      </x:c>
      <x:c r="G31" s="26" t="str">
        <x:f>IF(COUNT(D31:E31)=2,IF(D31=0,"n.a.",F31/D31),"")</x:f>
      </x:c>
      <x:c r="H31" s="9"/>
    </x:row>
    <x:row r="32" ht="23" customHeight="1">
      <x:c r="B32" s="35" t="str">
        <x:f>'Budget'!$B$16</x:f>
        <x:v>Apr</x:v>
      </x:c>
      <x:c r="C32" s="35" t="str">
        <x:f>'Budget'!$B$31</x:f>
        <x:v>Content and SEO</x:v>
      </x:c>
      <x:c r="D32" s="21"/>
      <x:c r="E32" s="21"/>
      <x:c r="F32" s="25" t="str">
        <x:f>IF(COUNT(D32:E32)=2,E32-D32,"")</x:f>
      </x:c>
      <x:c r="G32" s="26" t="str">
        <x:f>IF(COUNT(D32:E32)=2,IF(D32=0,"n.a.",F32/D32),"")</x:f>
      </x:c>
      <x:c r="H32" s="9"/>
    </x:row>
    <x:row r="33" ht="23" customHeight="1">
      <x:c r="B33" s="35" t="str">
        <x:f>'Budget'!$B$16</x:f>
        <x:v>Apr</x:v>
      </x:c>
      <x:c r="C33" s="35" t="str">
        <x:f>'Budget'!$B$32</x:f>
        <x:v>Email</x:v>
      </x:c>
      <x:c r="D33" s="21"/>
      <x:c r="E33" s="21"/>
      <x:c r="F33" s="25" t="str">
        <x:f>IF(COUNT(D33:E33)=2,E33-D33,"")</x:f>
      </x:c>
      <x:c r="G33" s="26" t="str">
        <x:f>IF(COUNT(D33:E33)=2,IF(D33=0,"n.a.",F33/D33),"")</x:f>
      </x:c>
      <x:c r="H33" s="9"/>
    </x:row>
    <x:row r="34" ht="23" customHeight="1">
      <x:c r="B34" s="35" t="str">
        <x:f>'Budget'!$B$16</x:f>
        <x:v>Apr</x:v>
      </x:c>
      <x:c r="C34" s="35" t="str">
        <x:f>'Budget'!$B$33</x:f>
        <x:v>Events</x:v>
      </x:c>
      <x:c r="D34" s="21"/>
      <x:c r="E34" s="21"/>
      <x:c r="F34" s="25" t="str">
        <x:f>IF(COUNT(D34:E34)=2,E34-D34,"")</x:f>
      </x:c>
      <x:c r="G34" s="26" t="str">
        <x:f>IF(COUNT(D34:E34)=2,IF(D34=0,"n.a.",F34/D34),"")</x:f>
      </x:c>
      <x:c r="H34" s="9"/>
    </x:row>
    <x:row r="35" ht="23" customHeight="1">
      <x:c r="B35" s="35" t="str">
        <x:f>'Budget'!$B$16</x:f>
        <x:v>Apr</x:v>
      </x:c>
      <x:c r="C35" s="35" t="str">
        <x:f>'Budget'!$B$34</x:f>
        <x:v>Tools and software</x:v>
      </x:c>
      <x:c r="D35" s="21"/>
      <x:c r="E35" s="21"/>
      <x:c r="F35" s="25" t="str">
        <x:f>IF(COUNT(D35:E35)=2,E35-D35,"")</x:f>
      </x:c>
      <x:c r="G35" s="26" t="str">
        <x:f>IF(COUNT(D35:E35)=2,IF(D35=0,"n.a.",F35/D35),"")</x:f>
      </x:c>
      <x:c r="H35" s="9"/>
    </x:row>
    <x:row r="36" ht="23" customHeight="1">
      <x:c r="B36" s="35" t="str">
        <x:f>'Budget'!$B$16</x:f>
        <x:v>Apr</x:v>
      </x:c>
      <x:c r="C36" s="35" t="str">
        <x:f>'Budget'!$B$35</x:f>
        <x:v>Agency and freelance</x:v>
      </x:c>
      <x:c r="D36" s="21"/>
      <x:c r="E36" s="21"/>
      <x:c r="F36" s="25" t="str">
        <x:f>IF(COUNT(D36:E36)=2,E36-D36,"")</x:f>
      </x:c>
      <x:c r="G36" s="26" t="str">
        <x:f>IF(COUNT(D36:E36)=2,IF(D36=0,"n.a.",F36/D36),"")</x:f>
      </x:c>
      <x:c r="H36" s="9"/>
    </x:row>
    <x:row r="37" ht="23" customHeight="1">
      <x:c r="B37" s="35" t="str">
        <x:f>'Budget'!$B$16</x:f>
        <x:v>Apr</x:v>
      </x:c>
      <x:c r="C37" s="35" t="str">
        <x:f>'Budget'!$B$36</x:f>
        <x:v>Other</x:v>
      </x:c>
      <x:c r="D37" s="21"/>
      <x:c r="E37" s="21"/>
      <x:c r="F37" s="25" t="str">
        <x:f>IF(COUNT(D37:E37)=2,E37-D37,"")</x:f>
      </x:c>
      <x:c r="G37" s="26" t="str">
        <x:f>IF(COUNT(D37:E37)=2,IF(D37=0,"n.a.",F37/D37),"")</x:f>
      </x:c>
      <x:c r="H37" s="9"/>
    </x:row>
    <x:row r="38" ht="23" customHeight="1">
      <x:c r="B38" s="35" t="str">
        <x:f>'Budget'!$B$17</x:f>
        <x:v>May</x:v>
      </x:c>
      <x:c r="C38" s="35" t="str">
        <x:f>'Budget'!$B$29</x:f>
        <x:v>Paid search</x:v>
      </x:c>
      <x:c r="D38" s="21"/>
      <x:c r="E38" s="21"/>
      <x:c r="F38" s="25" t="str">
        <x:f>IF(COUNT(D38:E38)=2,E38-D38,"")</x:f>
      </x:c>
      <x:c r="G38" s="26" t="str">
        <x:f>IF(COUNT(D38:E38)=2,IF(D38=0,"n.a.",F38/D38),"")</x:f>
      </x:c>
      <x:c r="H38" s="9"/>
    </x:row>
    <x:row r="39" ht="23" customHeight="1">
      <x:c r="B39" s="35" t="str">
        <x:f>'Budget'!$B$17</x:f>
        <x:v>May</x:v>
      </x:c>
      <x:c r="C39" s="35" t="str">
        <x:f>'Budget'!$B$30</x:f>
        <x:v>Paid social</x:v>
      </x:c>
      <x:c r="D39" s="21"/>
      <x:c r="E39" s="21"/>
      <x:c r="F39" s="25" t="str">
        <x:f>IF(COUNT(D39:E39)=2,E39-D39,"")</x:f>
      </x:c>
      <x:c r="G39" s="26" t="str">
        <x:f>IF(COUNT(D39:E39)=2,IF(D39=0,"n.a.",F39/D39),"")</x:f>
      </x:c>
      <x:c r="H39" s="9"/>
    </x:row>
    <x:row r="40" ht="23" customHeight="1">
      <x:c r="B40" s="35" t="str">
        <x:f>'Budget'!$B$17</x:f>
        <x:v>May</x:v>
      </x:c>
      <x:c r="C40" s="35" t="str">
        <x:f>'Budget'!$B$31</x:f>
        <x:v>Content and SEO</x:v>
      </x:c>
      <x:c r="D40" s="21"/>
      <x:c r="E40" s="21"/>
      <x:c r="F40" s="25" t="str">
        <x:f>IF(COUNT(D40:E40)=2,E40-D40,"")</x:f>
      </x:c>
      <x:c r="G40" s="26" t="str">
        <x:f>IF(COUNT(D40:E40)=2,IF(D40=0,"n.a.",F40/D40),"")</x:f>
      </x:c>
      <x:c r="H40" s="9"/>
    </x:row>
    <x:row r="41" ht="23" customHeight="1">
      <x:c r="B41" s="35" t="str">
        <x:f>'Budget'!$B$17</x:f>
        <x:v>May</x:v>
      </x:c>
      <x:c r="C41" s="35" t="str">
        <x:f>'Budget'!$B$32</x:f>
        <x:v>Email</x:v>
      </x:c>
      <x:c r="D41" s="21"/>
      <x:c r="E41" s="21"/>
      <x:c r="F41" s="25" t="str">
        <x:f>IF(COUNT(D41:E41)=2,E41-D41,"")</x:f>
      </x:c>
      <x:c r="G41" s="26" t="str">
        <x:f>IF(COUNT(D41:E41)=2,IF(D41=0,"n.a.",F41/D41),"")</x:f>
      </x:c>
      <x:c r="H41" s="9"/>
    </x:row>
    <x:row r="42" ht="23" customHeight="1">
      <x:c r="B42" s="35" t="str">
        <x:f>'Budget'!$B$17</x:f>
        <x:v>May</x:v>
      </x:c>
      <x:c r="C42" s="35" t="str">
        <x:f>'Budget'!$B$33</x:f>
        <x:v>Events</x:v>
      </x:c>
      <x:c r="D42" s="21"/>
      <x:c r="E42" s="21"/>
      <x:c r="F42" s="25" t="str">
        <x:f>IF(COUNT(D42:E42)=2,E42-D42,"")</x:f>
      </x:c>
      <x:c r="G42" s="26" t="str">
        <x:f>IF(COUNT(D42:E42)=2,IF(D42=0,"n.a.",F42/D42),"")</x:f>
      </x:c>
      <x:c r="H42" s="9"/>
    </x:row>
    <x:row r="43" ht="23" customHeight="1">
      <x:c r="B43" s="35" t="str">
        <x:f>'Budget'!$B$17</x:f>
        <x:v>May</x:v>
      </x:c>
      <x:c r="C43" s="35" t="str">
        <x:f>'Budget'!$B$34</x:f>
        <x:v>Tools and software</x:v>
      </x:c>
      <x:c r="D43" s="21"/>
      <x:c r="E43" s="21"/>
      <x:c r="F43" s="25" t="str">
        <x:f>IF(COUNT(D43:E43)=2,E43-D43,"")</x:f>
      </x:c>
      <x:c r="G43" s="26" t="str">
        <x:f>IF(COUNT(D43:E43)=2,IF(D43=0,"n.a.",F43/D43),"")</x:f>
      </x:c>
      <x:c r="H43" s="9"/>
    </x:row>
    <x:row r="44" ht="23" customHeight="1">
      <x:c r="B44" s="35" t="str">
        <x:f>'Budget'!$B$17</x:f>
        <x:v>May</x:v>
      </x:c>
      <x:c r="C44" s="35" t="str">
        <x:f>'Budget'!$B$35</x:f>
        <x:v>Agency and freelance</x:v>
      </x:c>
      <x:c r="D44" s="21"/>
      <x:c r="E44" s="21"/>
      <x:c r="F44" s="25" t="str">
        <x:f>IF(COUNT(D44:E44)=2,E44-D44,"")</x:f>
      </x:c>
      <x:c r="G44" s="26" t="str">
        <x:f>IF(COUNT(D44:E44)=2,IF(D44=0,"n.a.",F44/D44),"")</x:f>
      </x:c>
      <x:c r="H44" s="9"/>
    </x:row>
    <x:row r="45" ht="23" customHeight="1">
      <x:c r="B45" s="35" t="str">
        <x:f>'Budget'!$B$17</x:f>
        <x:v>May</x:v>
      </x:c>
      <x:c r="C45" s="35" t="str">
        <x:f>'Budget'!$B$36</x:f>
        <x:v>Other</x:v>
      </x:c>
      <x:c r="D45" s="21"/>
      <x:c r="E45" s="21"/>
      <x:c r="F45" s="25" t="str">
        <x:f>IF(COUNT(D45:E45)=2,E45-D45,"")</x:f>
      </x:c>
      <x:c r="G45" s="26" t="str">
        <x:f>IF(COUNT(D45:E45)=2,IF(D45=0,"n.a.",F45/D45),"")</x:f>
      </x:c>
      <x:c r="H45" s="9"/>
    </x:row>
    <x:row r="46" ht="23" customHeight="1">
      <x:c r="B46" s="35" t="str">
        <x:f>'Budget'!$B$18</x:f>
        <x:v>Jun</x:v>
      </x:c>
      <x:c r="C46" s="35" t="str">
        <x:f>'Budget'!$B$29</x:f>
        <x:v>Paid search</x:v>
      </x:c>
      <x:c r="D46" s="21"/>
      <x:c r="E46" s="21"/>
      <x:c r="F46" s="25" t="str">
        <x:f>IF(COUNT(D46:E46)=2,E46-D46,"")</x:f>
      </x:c>
      <x:c r="G46" s="26" t="str">
        <x:f>IF(COUNT(D46:E46)=2,IF(D46=0,"n.a.",F46/D46),"")</x:f>
      </x:c>
      <x:c r="H46" s="9"/>
    </x:row>
    <x:row r="47" ht="23" customHeight="1">
      <x:c r="B47" s="35" t="str">
        <x:f>'Budget'!$B$18</x:f>
        <x:v>Jun</x:v>
      </x:c>
      <x:c r="C47" s="35" t="str">
        <x:f>'Budget'!$B$30</x:f>
        <x:v>Paid social</x:v>
      </x:c>
      <x:c r="D47" s="21"/>
      <x:c r="E47" s="21"/>
      <x:c r="F47" s="25" t="str">
        <x:f>IF(COUNT(D47:E47)=2,E47-D47,"")</x:f>
      </x:c>
      <x:c r="G47" s="26" t="str">
        <x:f>IF(COUNT(D47:E47)=2,IF(D47=0,"n.a.",F47/D47),"")</x:f>
      </x:c>
      <x:c r="H47" s="9"/>
    </x:row>
    <x:row r="48" ht="23" customHeight="1">
      <x:c r="B48" s="35" t="str">
        <x:f>'Budget'!$B$18</x:f>
        <x:v>Jun</x:v>
      </x:c>
      <x:c r="C48" s="35" t="str">
        <x:f>'Budget'!$B$31</x:f>
        <x:v>Content and SEO</x:v>
      </x:c>
      <x:c r="D48" s="21"/>
      <x:c r="E48" s="21"/>
      <x:c r="F48" s="25" t="str">
        <x:f>IF(COUNT(D48:E48)=2,E48-D48,"")</x:f>
      </x:c>
      <x:c r="G48" s="26" t="str">
        <x:f>IF(COUNT(D48:E48)=2,IF(D48=0,"n.a.",F48/D48),"")</x:f>
      </x:c>
      <x:c r="H48" s="9"/>
    </x:row>
    <x:row r="49" ht="23" customHeight="1">
      <x:c r="B49" s="35" t="str">
        <x:f>'Budget'!$B$18</x:f>
        <x:v>Jun</x:v>
      </x:c>
      <x:c r="C49" s="35" t="str">
        <x:f>'Budget'!$B$32</x:f>
        <x:v>Email</x:v>
      </x:c>
      <x:c r="D49" s="21"/>
      <x:c r="E49" s="21"/>
      <x:c r="F49" s="25" t="str">
        <x:f>IF(COUNT(D49:E49)=2,E49-D49,"")</x:f>
      </x:c>
      <x:c r="G49" s="26" t="str">
        <x:f>IF(COUNT(D49:E49)=2,IF(D49=0,"n.a.",F49/D49),"")</x:f>
      </x:c>
      <x:c r="H49" s="9"/>
    </x:row>
    <x:row r="50" ht="23" customHeight="1">
      <x:c r="B50" s="35" t="str">
        <x:f>'Budget'!$B$18</x:f>
        <x:v>Jun</x:v>
      </x:c>
      <x:c r="C50" s="35" t="str">
        <x:f>'Budget'!$B$33</x:f>
        <x:v>Events</x:v>
      </x:c>
      <x:c r="D50" s="21"/>
      <x:c r="E50" s="21"/>
      <x:c r="F50" s="25" t="str">
        <x:f>IF(COUNT(D50:E50)=2,E50-D50,"")</x:f>
      </x:c>
      <x:c r="G50" s="26" t="str">
        <x:f>IF(COUNT(D50:E50)=2,IF(D50=0,"n.a.",F50/D50),"")</x:f>
      </x:c>
      <x:c r="H50" s="9"/>
    </x:row>
    <x:row r="51" ht="23" customHeight="1">
      <x:c r="B51" s="35" t="str">
        <x:f>'Budget'!$B$18</x:f>
        <x:v>Jun</x:v>
      </x:c>
      <x:c r="C51" s="35" t="str">
        <x:f>'Budget'!$B$34</x:f>
        <x:v>Tools and software</x:v>
      </x:c>
      <x:c r="D51" s="21"/>
      <x:c r="E51" s="21"/>
      <x:c r="F51" s="25" t="str">
        <x:f>IF(COUNT(D51:E51)=2,E51-D51,"")</x:f>
      </x:c>
      <x:c r="G51" s="26" t="str">
        <x:f>IF(COUNT(D51:E51)=2,IF(D51=0,"n.a.",F51/D51),"")</x:f>
      </x:c>
      <x:c r="H51" s="9"/>
    </x:row>
    <x:row r="52" ht="23" customHeight="1">
      <x:c r="B52" s="35" t="str">
        <x:f>'Budget'!$B$18</x:f>
        <x:v>Jun</x:v>
      </x:c>
      <x:c r="C52" s="35" t="str">
        <x:f>'Budget'!$B$35</x:f>
        <x:v>Agency and freelance</x:v>
      </x:c>
      <x:c r="D52" s="21"/>
      <x:c r="E52" s="21"/>
      <x:c r="F52" s="25" t="str">
        <x:f>IF(COUNT(D52:E52)=2,E52-D52,"")</x:f>
      </x:c>
      <x:c r="G52" s="26" t="str">
        <x:f>IF(COUNT(D52:E52)=2,IF(D52=0,"n.a.",F52/D52),"")</x:f>
      </x:c>
      <x:c r="H52" s="9"/>
    </x:row>
    <x:row r="53" ht="23" customHeight="1">
      <x:c r="B53" s="35" t="str">
        <x:f>'Budget'!$B$18</x:f>
        <x:v>Jun</x:v>
      </x:c>
      <x:c r="C53" s="35" t="str">
        <x:f>'Budget'!$B$36</x:f>
        <x:v>Other</x:v>
      </x:c>
      <x:c r="D53" s="21"/>
      <x:c r="E53" s="21"/>
      <x:c r="F53" s="25" t="str">
        <x:f>IF(COUNT(D53:E53)=2,E53-D53,"")</x:f>
      </x:c>
      <x:c r="G53" s="26" t="str">
        <x:f>IF(COUNT(D53:E53)=2,IF(D53=0,"n.a.",F53/D53),"")</x:f>
      </x:c>
      <x:c r="H53" s="9"/>
    </x:row>
    <x:row r="54" ht="23" customHeight="1">
      <x:c r="B54" s="35" t="str">
        <x:f>'Budget'!$B$19</x:f>
        <x:v>Jul</x:v>
      </x:c>
      <x:c r="C54" s="35" t="str">
        <x:f>'Budget'!$B$29</x:f>
        <x:v>Paid search</x:v>
      </x:c>
      <x:c r="D54" s="21"/>
      <x:c r="E54" s="21"/>
      <x:c r="F54" s="25" t="str">
        <x:f>IF(COUNT(D54:E54)=2,E54-D54,"")</x:f>
      </x:c>
      <x:c r="G54" s="26" t="str">
        <x:f>IF(COUNT(D54:E54)=2,IF(D54=0,"n.a.",F54/D54),"")</x:f>
      </x:c>
      <x:c r="H54" s="9"/>
    </x:row>
    <x:row r="55" ht="23" customHeight="1">
      <x:c r="B55" s="35" t="str">
        <x:f>'Budget'!$B$19</x:f>
        <x:v>Jul</x:v>
      </x:c>
      <x:c r="C55" s="35" t="str">
        <x:f>'Budget'!$B$30</x:f>
        <x:v>Paid social</x:v>
      </x:c>
      <x:c r="D55" s="21"/>
      <x:c r="E55" s="21"/>
      <x:c r="F55" s="25" t="str">
        <x:f>IF(COUNT(D55:E55)=2,E55-D55,"")</x:f>
      </x:c>
      <x:c r="G55" s="26" t="str">
        <x:f>IF(COUNT(D55:E55)=2,IF(D55=0,"n.a.",F55/D55),"")</x:f>
      </x:c>
      <x:c r="H55" s="9"/>
    </x:row>
    <x:row r="56" ht="23" customHeight="1">
      <x:c r="B56" s="35" t="str">
        <x:f>'Budget'!$B$19</x:f>
        <x:v>Jul</x:v>
      </x:c>
      <x:c r="C56" s="35" t="str">
        <x:f>'Budget'!$B$31</x:f>
        <x:v>Content and SEO</x:v>
      </x:c>
      <x:c r="D56" s="21"/>
      <x:c r="E56" s="21"/>
      <x:c r="F56" s="25" t="str">
        <x:f>IF(COUNT(D56:E56)=2,E56-D56,"")</x:f>
      </x:c>
      <x:c r="G56" s="26" t="str">
        <x:f>IF(COUNT(D56:E56)=2,IF(D56=0,"n.a.",F56/D56),"")</x:f>
      </x:c>
      <x:c r="H56" s="9"/>
    </x:row>
    <x:row r="57" ht="23" customHeight="1">
      <x:c r="B57" s="35" t="str">
        <x:f>'Budget'!$B$19</x:f>
        <x:v>Jul</x:v>
      </x:c>
      <x:c r="C57" s="35" t="str">
        <x:f>'Budget'!$B$32</x:f>
        <x:v>Email</x:v>
      </x:c>
      <x:c r="D57" s="21"/>
      <x:c r="E57" s="21"/>
      <x:c r="F57" s="25" t="str">
        <x:f>IF(COUNT(D57:E57)=2,E57-D57,"")</x:f>
      </x:c>
      <x:c r="G57" s="26" t="str">
        <x:f>IF(COUNT(D57:E57)=2,IF(D57=0,"n.a.",F57/D57),"")</x:f>
      </x:c>
      <x:c r="H57" s="9"/>
    </x:row>
    <x:row r="58" ht="23" customHeight="1">
      <x:c r="B58" s="35" t="str">
        <x:f>'Budget'!$B$19</x:f>
        <x:v>Jul</x:v>
      </x:c>
      <x:c r="C58" s="35" t="str">
        <x:f>'Budget'!$B$33</x:f>
        <x:v>Events</x:v>
      </x:c>
      <x:c r="D58" s="21"/>
      <x:c r="E58" s="21"/>
      <x:c r="F58" s="25" t="str">
        <x:f>IF(COUNT(D58:E58)=2,E58-D58,"")</x:f>
      </x:c>
      <x:c r="G58" s="26" t="str">
        <x:f>IF(COUNT(D58:E58)=2,IF(D58=0,"n.a.",F58/D58),"")</x:f>
      </x:c>
      <x:c r="H58" s="9"/>
    </x:row>
    <x:row r="59" ht="23" customHeight="1">
      <x:c r="B59" s="35" t="str">
        <x:f>'Budget'!$B$19</x:f>
        <x:v>Jul</x:v>
      </x:c>
      <x:c r="C59" s="35" t="str">
        <x:f>'Budget'!$B$34</x:f>
        <x:v>Tools and software</x:v>
      </x:c>
      <x:c r="D59" s="21"/>
      <x:c r="E59" s="21"/>
      <x:c r="F59" s="25" t="str">
        <x:f>IF(COUNT(D59:E59)=2,E59-D59,"")</x:f>
      </x:c>
      <x:c r="G59" s="26" t="str">
        <x:f>IF(COUNT(D59:E59)=2,IF(D59=0,"n.a.",F59/D59),"")</x:f>
      </x:c>
      <x:c r="H59" s="9"/>
    </x:row>
    <x:row r="60" ht="23" customHeight="1">
      <x:c r="B60" s="35" t="str">
        <x:f>'Budget'!$B$19</x:f>
        <x:v>Jul</x:v>
      </x:c>
      <x:c r="C60" s="35" t="str">
        <x:f>'Budget'!$B$35</x:f>
        <x:v>Agency and freelance</x:v>
      </x:c>
      <x:c r="D60" s="21"/>
      <x:c r="E60" s="21"/>
      <x:c r="F60" s="25" t="str">
        <x:f>IF(COUNT(D60:E60)=2,E60-D60,"")</x:f>
      </x:c>
      <x:c r="G60" s="26" t="str">
        <x:f>IF(COUNT(D60:E60)=2,IF(D60=0,"n.a.",F60/D60),"")</x:f>
      </x:c>
      <x:c r="H60" s="9"/>
    </x:row>
    <x:row r="61" ht="23" customHeight="1">
      <x:c r="B61" s="35" t="str">
        <x:f>'Budget'!$B$19</x:f>
        <x:v>Jul</x:v>
      </x:c>
      <x:c r="C61" s="35" t="str">
        <x:f>'Budget'!$B$36</x:f>
        <x:v>Other</x:v>
      </x:c>
      <x:c r="D61" s="21"/>
      <x:c r="E61" s="21"/>
      <x:c r="F61" s="25" t="str">
        <x:f>IF(COUNT(D61:E61)=2,E61-D61,"")</x:f>
      </x:c>
      <x:c r="G61" s="26" t="str">
        <x:f>IF(COUNT(D61:E61)=2,IF(D61=0,"n.a.",F61/D61),"")</x:f>
      </x:c>
      <x:c r="H61" s="9"/>
    </x:row>
    <x:row r="62" ht="23" customHeight="1">
      <x:c r="B62" s="35" t="str">
        <x:f>'Budget'!$B$20</x:f>
        <x:v>Aug</x:v>
      </x:c>
      <x:c r="C62" s="35" t="str">
        <x:f>'Budget'!$B$29</x:f>
        <x:v>Paid search</x:v>
      </x:c>
      <x:c r="D62" s="21"/>
      <x:c r="E62" s="21"/>
      <x:c r="F62" s="25" t="str">
        <x:f>IF(COUNT(D62:E62)=2,E62-D62,"")</x:f>
      </x:c>
      <x:c r="G62" s="26" t="str">
        <x:f>IF(COUNT(D62:E62)=2,IF(D62=0,"n.a.",F62/D62),"")</x:f>
      </x:c>
      <x:c r="H62" s="9"/>
    </x:row>
    <x:row r="63" ht="23" customHeight="1">
      <x:c r="B63" s="35" t="str">
        <x:f>'Budget'!$B$20</x:f>
        <x:v>Aug</x:v>
      </x:c>
      <x:c r="C63" s="35" t="str">
        <x:f>'Budget'!$B$30</x:f>
        <x:v>Paid social</x:v>
      </x:c>
      <x:c r="D63" s="21"/>
      <x:c r="E63" s="21"/>
      <x:c r="F63" s="25" t="str">
        <x:f>IF(COUNT(D63:E63)=2,E63-D63,"")</x:f>
      </x:c>
      <x:c r="G63" s="26" t="str">
        <x:f>IF(COUNT(D63:E63)=2,IF(D63=0,"n.a.",F63/D63),"")</x:f>
      </x:c>
      <x:c r="H63" s="9"/>
    </x:row>
    <x:row r="64" ht="23" customHeight="1">
      <x:c r="B64" s="35" t="str">
        <x:f>'Budget'!$B$20</x:f>
        <x:v>Aug</x:v>
      </x:c>
      <x:c r="C64" s="35" t="str">
        <x:f>'Budget'!$B$31</x:f>
        <x:v>Content and SEO</x:v>
      </x:c>
      <x:c r="D64" s="21"/>
      <x:c r="E64" s="21"/>
      <x:c r="F64" s="25" t="str">
        <x:f>IF(COUNT(D64:E64)=2,E64-D64,"")</x:f>
      </x:c>
      <x:c r="G64" s="26" t="str">
        <x:f>IF(COUNT(D64:E64)=2,IF(D64=0,"n.a.",F64/D64),"")</x:f>
      </x:c>
      <x:c r="H64" s="9"/>
    </x:row>
    <x:row r="65" ht="23" customHeight="1">
      <x:c r="B65" s="35" t="str">
        <x:f>'Budget'!$B$20</x:f>
        <x:v>Aug</x:v>
      </x:c>
      <x:c r="C65" s="35" t="str">
        <x:f>'Budget'!$B$32</x:f>
        <x:v>Email</x:v>
      </x:c>
      <x:c r="D65" s="21"/>
      <x:c r="E65" s="21"/>
      <x:c r="F65" s="25" t="str">
        <x:f>IF(COUNT(D65:E65)=2,E65-D65,"")</x:f>
      </x:c>
      <x:c r="G65" s="26" t="str">
        <x:f>IF(COUNT(D65:E65)=2,IF(D65=0,"n.a.",F65/D65),"")</x:f>
      </x:c>
      <x:c r="H65" s="9"/>
    </x:row>
    <x:row r="66" ht="23" customHeight="1">
      <x:c r="B66" s="35" t="str">
        <x:f>'Budget'!$B$20</x:f>
        <x:v>Aug</x:v>
      </x:c>
      <x:c r="C66" s="35" t="str">
        <x:f>'Budget'!$B$33</x:f>
        <x:v>Events</x:v>
      </x:c>
      <x:c r="D66" s="21"/>
      <x:c r="E66" s="21"/>
      <x:c r="F66" s="25" t="str">
        <x:f>IF(COUNT(D66:E66)=2,E66-D66,"")</x:f>
      </x:c>
      <x:c r="G66" s="26" t="str">
        <x:f>IF(COUNT(D66:E66)=2,IF(D66=0,"n.a.",F66/D66),"")</x:f>
      </x:c>
      <x:c r="H66" s="9"/>
    </x:row>
    <x:row r="67" ht="23" customHeight="1">
      <x:c r="B67" s="35" t="str">
        <x:f>'Budget'!$B$20</x:f>
        <x:v>Aug</x:v>
      </x:c>
      <x:c r="C67" s="35" t="str">
        <x:f>'Budget'!$B$34</x:f>
        <x:v>Tools and software</x:v>
      </x:c>
      <x:c r="D67" s="21"/>
      <x:c r="E67" s="21"/>
      <x:c r="F67" s="25" t="str">
        <x:f>IF(COUNT(D67:E67)=2,E67-D67,"")</x:f>
      </x:c>
      <x:c r="G67" s="26" t="str">
        <x:f>IF(COUNT(D67:E67)=2,IF(D67=0,"n.a.",F67/D67),"")</x:f>
      </x:c>
      <x:c r="H67" s="9"/>
    </x:row>
    <x:row r="68" ht="23" customHeight="1">
      <x:c r="B68" s="35" t="str">
        <x:f>'Budget'!$B$20</x:f>
        <x:v>Aug</x:v>
      </x:c>
      <x:c r="C68" s="35" t="str">
        <x:f>'Budget'!$B$35</x:f>
        <x:v>Agency and freelance</x:v>
      </x:c>
      <x:c r="D68" s="21"/>
      <x:c r="E68" s="21"/>
      <x:c r="F68" s="25" t="str">
        <x:f>IF(COUNT(D68:E68)=2,E68-D68,"")</x:f>
      </x:c>
      <x:c r="G68" s="26" t="str">
        <x:f>IF(COUNT(D68:E68)=2,IF(D68=0,"n.a.",F68/D68),"")</x:f>
      </x:c>
      <x:c r="H68" s="9"/>
    </x:row>
    <x:row r="69" ht="23" customHeight="1">
      <x:c r="B69" s="35" t="str">
        <x:f>'Budget'!$B$20</x:f>
        <x:v>Aug</x:v>
      </x:c>
      <x:c r="C69" s="35" t="str">
        <x:f>'Budget'!$B$36</x:f>
        <x:v>Other</x:v>
      </x:c>
      <x:c r="D69" s="21"/>
      <x:c r="E69" s="21"/>
      <x:c r="F69" s="25" t="str">
        <x:f>IF(COUNT(D69:E69)=2,E69-D69,"")</x:f>
      </x:c>
      <x:c r="G69" s="26" t="str">
        <x:f>IF(COUNT(D69:E69)=2,IF(D69=0,"n.a.",F69/D69),"")</x:f>
      </x:c>
      <x:c r="H69" s="9"/>
    </x:row>
    <x:row r="70" ht="23" customHeight="1">
      <x:c r="B70" s="35" t="str">
        <x:f>'Budget'!$B$21</x:f>
        <x:v>Sep</x:v>
      </x:c>
      <x:c r="C70" s="35" t="str">
        <x:f>'Budget'!$B$29</x:f>
        <x:v>Paid search</x:v>
      </x:c>
      <x:c r="D70" s="21"/>
      <x:c r="E70" s="21"/>
      <x:c r="F70" s="25" t="str">
        <x:f>IF(COUNT(D70:E70)=2,E70-D70,"")</x:f>
      </x:c>
      <x:c r="G70" s="26" t="str">
        <x:f>IF(COUNT(D70:E70)=2,IF(D70=0,"n.a.",F70/D70),"")</x:f>
      </x:c>
      <x:c r="H70" s="9"/>
    </x:row>
    <x:row r="71" ht="23" customHeight="1">
      <x:c r="B71" s="35" t="str">
        <x:f>'Budget'!$B$21</x:f>
        <x:v>Sep</x:v>
      </x:c>
      <x:c r="C71" s="35" t="str">
        <x:f>'Budget'!$B$30</x:f>
        <x:v>Paid social</x:v>
      </x:c>
      <x:c r="D71" s="21"/>
      <x:c r="E71" s="21"/>
      <x:c r="F71" s="25" t="str">
        <x:f>IF(COUNT(D71:E71)=2,E71-D71,"")</x:f>
      </x:c>
      <x:c r="G71" s="26" t="str">
        <x:f>IF(COUNT(D71:E71)=2,IF(D71=0,"n.a.",F71/D71),"")</x:f>
      </x:c>
      <x:c r="H71" s="9"/>
    </x:row>
    <x:row r="72" ht="23" customHeight="1">
      <x:c r="B72" s="35" t="str">
        <x:f>'Budget'!$B$21</x:f>
        <x:v>Sep</x:v>
      </x:c>
      <x:c r="C72" s="35" t="str">
        <x:f>'Budget'!$B$31</x:f>
        <x:v>Content and SEO</x:v>
      </x:c>
      <x:c r="D72" s="21"/>
      <x:c r="E72" s="21"/>
      <x:c r="F72" s="25" t="str">
        <x:f>IF(COUNT(D72:E72)=2,E72-D72,"")</x:f>
      </x:c>
      <x:c r="G72" s="26" t="str">
        <x:f>IF(COUNT(D72:E72)=2,IF(D72=0,"n.a.",F72/D72),"")</x:f>
      </x:c>
      <x:c r="H72" s="9"/>
    </x:row>
    <x:row r="73" ht="23" customHeight="1">
      <x:c r="B73" s="35" t="str">
        <x:f>'Budget'!$B$21</x:f>
        <x:v>Sep</x:v>
      </x:c>
      <x:c r="C73" s="35" t="str">
        <x:f>'Budget'!$B$32</x:f>
        <x:v>Email</x:v>
      </x:c>
      <x:c r="D73" s="21"/>
      <x:c r="E73" s="21"/>
      <x:c r="F73" s="25" t="str">
        <x:f>IF(COUNT(D73:E73)=2,E73-D73,"")</x:f>
      </x:c>
      <x:c r="G73" s="26" t="str">
        <x:f>IF(COUNT(D73:E73)=2,IF(D73=0,"n.a.",F73/D73),"")</x:f>
      </x:c>
      <x:c r="H73" s="9"/>
    </x:row>
    <x:row r="74" ht="23" customHeight="1">
      <x:c r="B74" s="35" t="str">
        <x:f>'Budget'!$B$21</x:f>
        <x:v>Sep</x:v>
      </x:c>
      <x:c r="C74" s="35" t="str">
        <x:f>'Budget'!$B$33</x:f>
        <x:v>Events</x:v>
      </x:c>
      <x:c r="D74" s="21"/>
      <x:c r="E74" s="21"/>
      <x:c r="F74" s="25" t="str">
        <x:f>IF(COUNT(D74:E74)=2,E74-D74,"")</x:f>
      </x:c>
      <x:c r="G74" s="26" t="str">
        <x:f>IF(COUNT(D74:E74)=2,IF(D74=0,"n.a.",F74/D74),"")</x:f>
      </x:c>
      <x:c r="H74" s="9"/>
    </x:row>
    <x:row r="75" ht="23" customHeight="1">
      <x:c r="B75" s="35" t="str">
        <x:f>'Budget'!$B$21</x:f>
        <x:v>Sep</x:v>
      </x:c>
      <x:c r="C75" s="35" t="str">
        <x:f>'Budget'!$B$34</x:f>
        <x:v>Tools and software</x:v>
      </x:c>
      <x:c r="D75" s="21"/>
      <x:c r="E75" s="21"/>
      <x:c r="F75" s="25" t="str">
        <x:f>IF(COUNT(D75:E75)=2,E75-D75,"")</x:f>
      </x:c>
      <x:c r="G75" s="26" t="str">
        <x:f>IF(COUNT(D75:E75)=2,IF(D75=0,"n.a.",F75/D75),"")</x:f>
      </x:c>
      <x:c r="H75" s="9"/>
    </x:row>
    <x:row r="76" ht="23" customHeight="1">
      <x:c r="B76" s="35" t="str">
        <x:f>'Budget'!$B$21</x:f>
        <x:v>Sep</x:v>
      </x:c>
      <x:c r="C76" s="35" t="str">
        <x:f>'Budget'!$B$35</x:f>
        <x:v>Agency and freelance</x:v>
      </x:c>
      <x:c r="D76" s="21"/>
      <x:c r="E76" s="21"/>
      <x:c r="F76" s="25" t="str">
        <x:f>IF(COUNT(D76:E76)=2,E76-D76,"")</x:f>
      </x:c>
      <x:c r="G76" s="26" t="str">
        <x:f>IF(COUNT(D76:E76)=2,IF(D76=0,"n.a.",F76/D76),"")</x:f>
      </x:c>
      <x:c r="H76" s="9"/>
    </x:row>
    <x:row r="77" ht="23" customHeight="1">
      <x:c r="B77" s="35" t="str">
        <x:f>'Budget'!$B$21</x:f>
        <x:v>Sep</x:v>
      </x:c>
      <x:c r="C77" s="35" t="str">
        <x:f>'Budget'!$B$36</x:f>
        <x:v>Other</x:v>
      </x:c>
      <x:c r="D77" s="21"/>
      <x:c r="E77" s="21"/>
      <x:c r="F77" s="25" t="str">
        <x:f>IF(COUNT(D77:E77)=2,E77-D77,"")</x:f>
      </x:c>
      <x:c r="G77" s="26" t="str">
        <x:f>IF(COUNT(D77:E77)=2,IF(D77=0,"n.a.",F77/D77),"")</x:f>
      </x:c>
      <x:c r="H77" s="9"/>
    </x:row>
    <x:row r="78" ht="23" customHeight="1">
      <x:c r="B78" s="35" t="str">
        <x:f>'Budget'!$B$22</x:f>
        <x:v>Oct</x:v>
      </x:c>
      <x:c r="C78" s="35" t="str">
        <x:f>'Budget'!$B$29</x:f>
        <x:v>Paid search</x:v>
      </x:c>
      <x:c r="D78" s="21"/>
      <x:c r="E78" s="21"/>
      <x:c r="F78" s="25" t="str">
        <x:f>IF(COUNT(D78:E78)=2,E78-D78,"")</x:f>
      </x:c>
      <x:c r="G78" s="26" t="str">
        <x:f>IF(COUNT(D78:E78)=2,IF(D78=0,"n.a.",F78/D78),"")</x:f>
      </x:c>
      <x:c r="H78" s="9"/>
    </x:row>
    <x:row r="79" ht="23" customHeight="1">
      <x:c r="B79" s="35" t="str">
        <x:f>'Budget'!$B$22</x:f>
        <x:v>Oct</x:v>
      </x:c>
      <x:c r="C79" s="35" t="str">
        <x:f>'Budget'!$B$30</x:f>
        <x:v>Paid social</x:v>
      </x:c>
      <x:c r="D79" s="21"/>
      <x:c r="E79" s="21"/>
      <x:c r="F79" s="25" t="str">
        <x:f>IF(COUNT(D79:E79)=2,E79-D79,"")</x:f>
      </x:c>
      <x:c r="G79" s="26" t="str">
        <x:f>IF(COUNT(D79:E79)=2,IF(D79=0,"n.a.",F79/D79),"")</x:f>
      </x:c>
      <x:c r="H79" s="9"/>
    </x:row>
    <x:row r="80" ht="23" customHeight="1">
      <x:c r="B80" s="35" t="str">
        <x:f>'Budget'!$B$22</x:f>
        <x:v>Oct</x:v>
      </x:c>
      <x:c r="C80" s="35" t="str">
        <x:f>'Budget'!$B$31</x:f>
        <x:v>Content and SEO</x:v>
      </x:c>
      <x:c r="D80" s="21"/>
      <x:c r="E80" s="21"/>
      <x:c r="F80" s="25" t="str">
        <x:f>IF(COUNT(D80:E80)=2,E80-D80,"")</x:f>
      </x:c>
      <x:c r="G80" s="26" t="str">
        <x:f>IF(COUNT(D80:E80)=2,IF(D80=0,"n.a.",F80/D80),"")</x:f>
      </x:c>
      <x:c r="H80" s="9"/>
    </x:row>
    <x:row r="81" ht="23" customHeight="1">
      <x:c r="B81" s="35" t="str">
        <x:f>'Budget'!$B$22</x:f>
        <x:v>Oct</x:v>
      </x:c>
      <x:c r="C81" s="35" t="str">
        <x:f>'Budget'!$B$32</x:f>
        <x:v>Email</x:v>
      </x:c>
      <x:c r="D81" s="21"/>
      <x:c r="E81" s="21"/>
      <x:c r="F81" s="25" t="str">
        <x:f>IF(COUNT(D81:E81)=2,E81-D81,"")</x:f>
      </x:c>
      <x:c r="G81" s="26" t="str">
        <x:f>IF(COUNT(D81:E81)=2,IF(D81=0,"n.a.",F81/D81),"")</x:f>
      </x:c>
      <x:c r="H81" s="9"/>
    </x:row>
    <x:row r="82" ht="23" customHeight="1">
      <x:c r="B82" s="35" t="str">
        <x:f>'Budget'!$B$22</x:f>
        <x:v>Oct</x:v>
      </x:c>
      <x:c r="C82" s="35" t="str">
        <x:f>'Budget'!$B$33</x:f>
        <x:v>Events</x:v>
      </x:c>
      <x:c r="D82" s="21"/>
      <x:c r="E82" s="21"/>
      <x:c r="F82" s="25" t="str">
        <x:f>IF(COUNT(D82:E82)=2,E82-D82,"")</x:f>
      </x:c>
      <x:c r="G82" s="26" t="str">
        <x:f>IF(COUNT(D82:E82)=2,IF(D82=0,"n.a.",F82/D82),"")</x:f>
      </x:c>
      <x:c r="H82" s="9"/>
    </x:row>
    <x:row r="83" ht="23" customHeight="1">
      <x:c r="B83" s="35" t="str">
        <x:f>'Budget'!$B$22</x:f>
        <x:v>Oct</x:v>
      </x:c>
      <x:c r="C83" s="35" t="str">
        <x:f>'Budget'!$B$34</x:f>
        <x:v>Tools and software</x:v>
      </x:c>
      <x:c r="D83" s="21"/>
      <x:c r="E83" s="21"/>
      <x:c r="F83" s="25" t="str">
        <x:f>IF(COUNT(D83:E83)=2,E83-D83,"")</x:f>
      </x:c>
      <x:c r="G83" s="26" t="str">
        <x:f>IF(COUNT(D83:E83)=2,IF(D83=0,"n.a.",F83/D83),"")</x:f>
      </x:c>
      <x:c r="H83" s="9"/>
    </x:row>
    <x:row r="84" ht="23" customHeight="1">
      <x:c r="B84" s="35" t="str">
        <x:f>'Budget'!$B$22</x:f>
        <x:v>Oct</x:v>
      </x:c>
      <x:c r="C84" s="35" t="str">
        <x:f>'Budget'!$B$35</x:f>
        <x:v>Agency and freelance</x:v>
      </x:c>
      <x:c r="D84" s="21"/>
      <x:c r="E84" s="21"/>
      <x:c r="F84" s="25" t="str">
        <x:f>IF(COUNT(D84:E84)=2,E84-D84,"")</x:f>
      </x:c>
      <x:c r="G84" s="26" t="str">
        <x:f>IF(COUNT(D84:E84)=2,IF(D84=0,"n.a.",F84/D84),"")</x:f>
      </x:c>
      <x:c r="H84" s="9"/>
    </x:row>
    <x:row r="85" ht="23" customHeight="1">
      <x:c r="B85" s="35" t="str">
        <x:f>'Budget'!$B$22</x:f>
        <x:v>Oct</x:v>
      </x:c>
      <x:c r="C85" s="35" t="str">
        <x:f>'Budget'!$B$36</x:f>
        <x:v>Other</x:v>
      </x:c>
      <x:c r="D85" s="21"/>
      <x:c r="E85" s="21"/>
      <x:c r="F85" s="25" t="str">
        <x:f>IF(COUNT(D85:E85)=2,E85-D85,"")</x:f>
      </x:c>
      <x:c r="G85" s="26" t="str">
        <x:f>IF(COUNT(D85:E85)=2,IF(D85=0,"n.a.",F85/D85),"")</x:f>
      </x:c>
      <x:c r="H85" s="9"/>
    </x:row>
    <x:row r="86" ht="23" customHeight="1">
      <x:c r="B86" s="35" t="str">
        <x:f>'Budget'!$B$23</x:f>
        <x:v>Nov</x:v>
      </x:c>
      <x:c r="C86" s="35" t="str">
        <x:f>'Budget'!$B$29</x:f>
        <x:v>Paid search</x:v>
      </x:c>
      <x:c r="D86" s="21"/>
      <x:c r="E86" s="21"/>
      <x:c r="F86" s="25" t="str">
        <x:f>IF(COUNT(D86:E86)=2,E86-D86,"")</x:f>
      </x:c>
      <x:c r="G86" s="26" t="str">
        <x:f>IF(COUNT(D86:E86)=2,IF(D86=0,"n.a.",F86/D86),"")</x:f>
      </x:c>
      <x:c r="H86" s="9"/>
    </x:row>
    <x:row r="87" ht="23" customHeight="1">
      <x:c r="B87" s="35" t="str">
        <x:f>'Budget'!$B$23</x:f>
        <x:v>Nov</x:v>
      </x:c>
      <x:c r="C87" s="35" t="str">
        <x:f>'Budget'!$B$30</x:f>
        <x:v>Paid social</x:v>
      </x:c>
      <x:c r="D87" s="21"/>
      <x:c r="E87" s="21"/>
      <x:c r="F87" s="25" t="str">
        <x:f>IF(COUNT(D87:E87)=2,E87-D87,"")</x:f>
      </x:c>
      <x:c r="G87" s="26" t="str">
        <x:f>IF(COUNT(D87:E87)=2,IF(D87=0,"n.a.",F87/D87),"")</x:f>
      </x:c>
      <x:c r="H87" s="9"/>
    </x:row>
    <x:row r="88" ht="23" customHeight="1">
      <x:c r="B88" s="35" t="str">
        <x:f>'Budget'!$B$23</x:f>
        <x:v>Nov</x:v>
      </x:c>
      <x:c r="C88" s="35" t="str">
        <x:f>'Budget'!$B$31</x:f>
        <x:v>Content and SEO</x:v>
      </x:c>
      <x:c r="D88" s="21"/>
      <x:c r="E88" s="21"/>
      <x:c r="F88" s="25" t="str">
        <x:f>IF(COUNT(D88:E88)=2,E88-D88,"")</x:f>
      </x:c>
      <x:c r="G88" s="26" t="str">
        <x:f>IF(COUNT(D88:E88)=2,IF(D88=0,"n.a.",F88/D88),"")</x:f>
      </x:c>
      <x:c r="H88" s="9"/>
    </x:row>
    <x:row r="89" ht="23" customHeight="1">
      <x:c r="B89" s="35" t="str">
        <x:f>'Budget'!$B$23</x:f>
        <x:v>Nov</x:v>
      </x:c>
      <x:c r="C89" s="35" t="str">
        <x:f>'Budget'!$B$32</x:f>
        <x:v>Email</x:v>
      </x:c>
      <x:c r="D89" s="21"/>
      <x:c r="E89" s="21"/>
      <x:c r="F89" s="25" t="str">
        <x:f>IF(COUNT(D89:E89)=2,E89-D89,"")</x:f>
      </x:c>
      <x:c r="G89" s="26" t="str">
        <x:f>IF(COUNT(D89:E89)=2,IF(D89=0,"n.a.",F89/D89),"")</x:f>
      </x:c>
      <x:c r="H89" s="9"/>
    </x:row>
    <x:row r="90" ht="23" customHeight="1">
      <x:c r="B90" s="35" t="str">
        <x:f>'Budget'!$B$23</x:f>
        <x:v>Nov</x:v>
      </x:c>
      <x:c r="C90" s="35" t="str">
        <x:f>'Budget'!$B$33</x:f>
        <x:v>Events</x:v>
      </x:c>
      <x:c r="D90" s="21"/>
      <x:c r="E90" s="21"/>
      <x:c r="F90" s="25" t="str">
        <x:f>IF(COUNT(D90:E90)=2,E90-D90,"")</x:f>
      </x:c>
      <x:c r="G90" s="26" t="str">
        <x:f>IF(COUNT(D90:E90)=2,IF(D90=0,"n.a.",F90/D90),"")</x:f>
      </x:c>
      <x:c r="H90" s="9"/>
    </x:row>
    <x:row r="91" ht="23" customHeight="1">
      <x:c r="B91" s="35" t="str">
        <x:f>'Budget'!$B$23</x:f>
        <x:v>Nov</x:v>
      </x:c>
      <x:c r="C91" s="35" t="str">
        <x:f>'Budget'!$B$34</x:f>
        <x:v>Tools and software</x:v>
      </x:c>
      <x:c r="D91" s="21"/>
      <x:c r="E91" s="21"/>
      <x:c r="F91" s="25" t="str">
        <x:f>IF(COUNT(D91:E91)=2,E91-D91,"")</x:f>
      </x:c>
      <x:c r="G91" s="26" t="str">
        <x:f>IF(COUNT(D91:E91)=2,IF(D91=0,"n.a.",F91/D91),"")</x:f>
      </x:c>
      <x:c r="H91" s="9"/>
    </x:row>
    <x:row r="92" ht="23" customHeight="1">
      <x:c r="B92" s="35" t="str">
        <x:f>'Budget'!$B$23</x:f>
        <x:v>Nov</x:v>
      </x:c>
      <x:c r="C92" s="35" t="str">
        <x:f>'Budget'!$B$35</x:f>
        <x:v>Agency and freelance</x:v>
      </x:c>
      <x:c r="D92" s="21"/>
      <x:c r="E92" s="21"/>
      <x:c r="F92" s="25" t="str">
        <x:f>IF(COUNT(D92:E92)=2,E92-D92,"")</x:f>
      </x:c>
      <x:c r="G92" s="26" t="str">
        <x:f>IF(COUNT(D92:E92)=2,IF(D92=0,"n.a.",F92/D92),"")</x:f>
      </x:c>
      <x:c r="H92" s="9"/>
    </x:row>
    <x:row r="93" ht="23" customHeight="1">
      <x:c r="B93" s="35" t="str">
        <x:f>'Budget'!$B$23</x:f>
        <x:v>Nov</x:v>
      </x:c>
      <x:c r="C93" s="35" t="str">
        <x:f>'Budget'!$B$36</x:f>
        <x:v>Other</x:v>
      </x:c>
      <x:c r="D93" s="21"/>
      <x:c r="E93" s="21"/>
      <x:c r="F93" s="25" t="str">
        <x:f>IF(COUNT(D93:E93)=2,E93-D93,"")</x:f>
      </x:c>
      <x:c r="G93" s="26" t="str">
        <x:f>IF(COUNT(D93:E93)=2,IF(D93=0,"n.a.",F93/D93),"")</x:f>
      </x:c>
      <x:c r="H93" s="9"/>
    </x:row>
    <x:row r="94" ht="23" customHeight="1">
      <x:c r="B94" s="35" t="str">
        <x:f>'Budget'!$B$24</x:f>
        <x:v>Dec</x:v>
      </x:c>
      <x:c r="C94" s="35" t="str">
        <x:f>'Budget'!$B$29</x:f>
        <x:v>Paid search</x:v>
      </x:c>
      <x:c r="D94" s="21"/>
      <x:c r="E94" s="21"/>
      <x:c r="F94" s="25" t="str">
        <x:f>IF(COUNT(D94:E94)=2,E94-D94,"")</x:f>
      </x:c>
      <x:c r="G94" s="26" t="str">
        <x:f>IF(COUNT(D94:E94)=2,IF(D94=0,"n.a.",F94/D94),"")</x:f>
      </x:c>
      <x:c r="H94" s="9"/>
    </x:row>
    <x:row r="95" ht="23" customHeight="1">
      <x:c r="B95" s="35" t="str">
        <x:f>'Budget'!$B$24</x:f>
        <x:v>Dec</x:v>
      </x:c>
      <x:c r="C95" s="35" t="str">
        <x:f>'Budget'!$B$30</x:f>
        <x:v>Paid social</x:v>
      </x:c>
      <x:c r="D95" s="21"/>
      <x:c r="E95" s="21"/>
      <x:c r="F95" s="25" t="str">
        <x:f>IF(COUNT(D95:E95)=2,E95-D95,"")</x:f>
      </x:c>
      <x:c r="G95" s="26" t="str">
        <x:f>IF(COUNT(D95:E95)=2,IF(D95=0,"n.a.",F95/D95),"")</x:f>
      </x:c>
      <x:c r="H95" s="9"/>
    </x:row>
    <x:row r="96" ht="23" customHeight="1">
      <x:c r="B96" s="35" t="str">
        <x:f>'Budget'!$B$24</x:f>
        <x:v>Dec</x:v>
      </x:c>
      <x:c r="C96" s="35" t="str">
        <x:f>'Budget'!$B$31</x:f>
        <x:v>Content and SEO</x:v>
      </x:c>
      <x:c r="D96" s="21"/>
      <x:c r="E96" s="21"/>
      <x:c r="F96" s="25" t="str">
        <x:f>IF(COUNT(D96:E96)=2,E96-D96,"")</x:f>
      </x:c>
      <x:c r="G96" s="26" t="str">
        <x:f>IF(COUNT(D96:E96)=2,IF(D96=0,"n.a.",F96/D96),"")</x:f>
      </x:c>
      <x:c r="H96" s="9"/>
    </x:row>
    <x:row r="97" ht="23" customHeight="1">
      <x:c r="B97" s="35" t="str">
        <x:f>'Budget'!$B$24</x:f>
        <x:v>Dec</x:v>
      </x:c>
      <x:c r="C97" s="35" t="str">
        <x:f>'Budget'!$B$32</x:f>
        <x:v>Email</x:v>
      </x:c>
      <x:c r="D97" s="21"/>
      <x:c r="E97" s="21"/>
      <x:c r="F97" s="25" t="str">
        <x:f>IF(COUNT(D97:E97)=2,E97-D97,"")</x:f>
      </x:c>
      <x:c r="G97" s="26" t="str">
        <x:f>IF(COUNT(D97:E97)=2,IF(D97=0,"n.a.",F97/D97),"")</x:f>
      </x:c>
      <x:c r="H97" s="9"/>
    </x:row>
    <x:row r="98" ht="23" customHeight="1">
      <x:c r="B98" s="35" t="str">
        <x:f>'Budget'!$B$24</x:f>
        <x:v>Dec</x:v>
      </x:c>
      <x:c r="C98" s="35" t="str">
        <x:f>'Budget'!$B$33</x:f>
        <x:v>Events</x:v>
      </x:c>
      <x:c r="D98" s="21"/>
      <x:c r="E98" s="21"/>
      <x:c r="F98" s="25" t="str">
        <x:f>IF(COUNT(D98:E98)=2,E98-D98,"")</x:f>
      </x:c>
      <x:c r="G98" s="26" t="str">
        <x:f>IF(COUNT(D98:E98)=2,IF(D98=0,"n.a.",F98/D98),"")</x:f>
      </x:c>
      <x:c r="H98" s="9"/>
    </x:row>
    <x:row r="99" ht="23" customHeight="1">
      <x:c r="B99" s="35" t="str">
        <x:f>'Budget'!$B$24</x:f>
        <x:v>Dec</x:v>
      </x:c>
      <x:c r="C99" s="35" t="str">
        <x:f>'Budget'!$B$34</x:f>
        <x:v>Tools and software</x:v>
      </x:c>
      <x:c r="D99" s="21"/>
      <x:c r="E99" s="21"/>
      <x:c r="F99" s="25" t="str">
        <x:f>IF(COUNT(D99:E99)=2,E99-D99,"")</x:f>
      </x:c>
      <x:c r="G99" s="26" t="str">
        <x:f>IF(COUNT(D99:E99)=2,IF(D99=0,"n.a.",F99/D99),"")</x:f>
      </x:c>
      <x:c r="H99" s="9"/>
    </x:row>
    <x:row r="100" ht="23" customHeight="1">
      <x:c r="B100" s="35" t="str">
        <x:f>'Budget'!$B$24</x:f>
        <x:v>Dec</x:v>
      </x:c>
      <x:c r="C100" s="35" t="str">
        <x:f>'Budget'!$B$35</x:f>
        <x:v>Agency and freelance</x:v>
      </x:c>
      <x:c r="D100" s="21"/>
      <x:c r="E100" s="21"/>
      <x:c r="F100" s="25" t="str">
        <x:f>IF(COUNT(D100:E100)=2,E100-D100,"")</x:f>
      </x:c>
      <x:c r="G100" s="26" t="str">
        <x:f>IF(COUNT(D100:E100)=2,IF(D100=0,"n.a.",F100/D100),"")</x:f>
      </x:c>
      <x:c r="H100" s="9"/>
    </x:row>
    <x:row r="101" ht="23" customHeight="1">
      <x:c r="B101" s="35" t="str">
        <x:f>'Budget'!$B$24</x:f>
        <x:v>Dec</x:v>
      </x:c>
      <x:c r="C101" s="35" t="str">
        <x:f>'Budget'!$B$36</x:f>
        <x:v>Other</x:v>
      </x:c>
      <x:c r="D101" s="21"/>
      <x:c r="E101" s="21"/>
      <x:c r="F101" s="25" t="str">
        <x:f>IF(COUNT(D101:E101)=2,E101-D101,"")</x:f>
      </x:c>
      <x:c r="G101" s="26" t="str">
        <x:f>IF(COUNT(D101:E101)=2,IF(D101=0,"n.a.",F101/D101),"")</x:f>
      </x:c>
      <x:c r="H101" s="9"/>
    </x:row>
  </x:sheetData>
  <x:pageMargins left="0.7" right="0.7" top="0.75" bottom="0.75" header="0.3" footer="0.3"/>
</x:worksheet>
</file>